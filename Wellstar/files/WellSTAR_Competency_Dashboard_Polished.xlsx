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bf28af4c1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 Data" sheetId="1" r:id="R9a38e79e7edc47f2"/>
    <x:sheet xmlns:r="http://schemas.openxmlformats.org/officeDocument/2006/relationships" name="Dashboard" sheetId="2" r:id="R046b77489f7c4d07"/>
    <x:sheet xmlns:r="http://schemas.openxmlformats.org/officeDocument/2006/relationships" name="Question Analytics" sheetId="3" r:id="Ra0dfcb2516b1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%"/>
    <x:numFmt numFmtId="202" formatCode="0.0"/>
    <x:numFmt numFmtId="203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8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b0461ce694c30" /><Relationship Type="http://schemas.openxmlformats.org/officeDocument/2006/relationships/theme" Target="/xl/theme/theme1.xml" Id="R998be02255334c28" /><Relationship Type="http://schemas.openxmlformats.org/officeDocument/2006/relationships/sharedStrings" Target="/xl/sharedStrings.xml" Id="Rbfcb2bde2ad04976" /><Relationship Type="http://schemas.openxmlformats.org/officeDocument/2006/relationships/worksheet" Target="/xl/worksheets/sheet1.xml" Id="R9a38e79e7edc47f2" /><Relationship Type="http://schemas.openxmlformats.org/officeDocument/2006/relationships/worksheet" Target="/xl/worksheets/sheet2.xml" Id="R046b77489f7c4d07" /><Relationship Type="http://schemas.openxmlformats.org/officeDocument/2006/relationships/worksheet" Target="/xl/worksheets/sheet3.xml" Id="Ra0dfcb2516b14c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ff1bfde95c417d" /><Relationship Type="http://schemas.openxmlformats.org/officeDocument/2006/relationships/chart" Target="/xl/drawings/charts/chart2.xml" Id="R78c3af57fb5540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Performance by Question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Performance %</c:v>
          </c:tx>
          <c:cat>
            <c:strRef>
              <c:f>'Dashboard'!$H$16:$H$19</c:f>
              <c:strCache>
                <c:ptCount val="0"/>
              </c:strCache>
            </c:strRef>
          </c:cat>
          <c:val>
            <c:numRef>
              <c:f>'Dashboard'!$I$16:$I$19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Competency Distribution</a:t>
            </a:r>
          </a:p>
        </c:rich>
      </c:tx>
    </c:title>
    <c:plotArea>
      <c:doughnutChart>
        <c:ser>
          <c:idx val="0"/>
          <c:order val="0"/>
          <c:tx>
            <c:v>Count</c:v>
          </c:tx>
          <c:cat>
            <c:strRef>
              <c:f>'Dashboard'!$H$9:$H$12</c:f>
              <c:strCache>
                <c:ptCount val="0"/>
              </c:strCache>
            </c:strRef>
          </c:cat>
          <c:val>
            <c:numRef>
              <c:f>'Dashboard'!$I$9:$I$12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ff1bfde95c417d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c3af57fb5540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ssmentResults" displayName="AssessmentResults" ref="A1:O100" headerRowCount="1" totalsRowCount="0" totalsRowShown="0">
  <x:tableColumns count="15">
    <x:tableColumn id="1" name="Learner ID"/>
    <x:tableColumn id="2" name="Date"/>
    <x:tableColumn id="3" name="Office/Unit"/>
    <x:tableColumn id="4" name="Experience Level"/>
    <x:tableColumn id="5" name="Pre Confidence (1-5)"/>
    <x:tableColumn id="6" name="Q1 Recall (1)"/>
    <x:tableColumn id="7" name="Q2 Sequence (2)"/>
    <x:tableColumn id="8" name="Q3 Hotspot (2)"/>
    <x:tableColumn id="9" name="Q4 Simulation (5)"/>
    <x:tableColumn id="10" name="Total Score"/>
    <x:tableColumn id="11" name="Competency %"/>
    <x:tableColumn id="12" name="Post Confidence (1-5)"/>
    <x:tableColumn id="13" name="Confidence Gain"/>
    <x:tableColumn id="14" name="Competency Level"/>
    <x:tableColumn id="15" name="Recommend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d9fabef71f4d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57b9065e89443e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7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14" hidden="0" customWidth="1"/>
    <x:col min="12" max="12" width="18" hidden="0" customWidth="1"/>
    <x:col min="13" max="13" width="18" hidden="0" customWidth="1"/>
    <x:col min="14" max="14" width="20" hidden="0" customWidth="1"/>
    <x:col min="15" max="15" width="28" hidden="0" customWidth="1"/>
  </x:cols>
  <x:sheetData>
    <x:row r="1">
      <x:c r="A1" s="6" t="str">
        <x:v>Learner ID</x:v>
      </x:c>
      <x:c r="B1" s="6" t="str">
        <x:v>Date</x:v>
      </x:c>
      <x:c r="C1" s="6" t="str">
        <x:v>Office/Unit</x:v>
      </x:c>
      <x:c r="D1" s="6" t="str">
        <x:v>Experience Level</x:v>
      </x:c>
      <x:c r="E1" s="6" t="str">
        <x:v>Pre Confidence (1-5)</x:v>
      </x:c>
      <x:c r="F1" s="6" t="str">
        <x:v>Q1 Recall (1)</x:v>
      </x:c>
      <x:c r="G1" s="6" t="str">
        <x:v>Q2 Sequence (2)</x:v>
      </x:c>
      <x:c r="H1" s="6" t="str">
        <x:v>Q3 Hotspot (2)</x:v>
      </x:c>
      <x:c r="I1" s="6" t="str">
        <x:v>Q4 Simulation (5)</x:v>
      </x:c>
      <x:c r="J1" s="6" t="str">
        <x:v>Total Score</x:v>
      </x:c>
      <x:c r="K1" s="6" t="str">
        <x:v>Competency %</x:v>
      </x:c>
      <x:c r="L1" s="6" t="str">
        <x:v>Post Confidence (1-5)</x:v>
      </x:c>
      <x:c r="M1" s="6" t="str">
        <x:v>Confidence Gain</x:v>
      </x:c>
      <x:c r="N1" s="6" t="str">
        <x:v>Competency Level</x:v>
      </x:c>
      <x:c r="O1" s="6" t="str">
        <x:v>Recommended Action</x:v>
      </x:c>
    </x:row>
    <x:row r="2">
      <x:c r="A2" t="str">
        <x:v>CG001</x:v>
      </x:c>
      <x:c r="B2" s="12" t="n">
        <x:v>46244</x:v>
      </x:c>
      <x:c r="C2" t="str">
        <x:v>Northern</x:v>
      </x:c>
      <x:c r="D2" t="str">
        <x:v>New</x:v>
      </x:c>
      <x:c r="E2" t="n">
        <x:v>2</x:v>
      </x:c>
      <x:c r="F2" t="n">
        <x:v>1</x:v>
      </x:c>
      <x:c r="G2" t="n">
        <x:v>2</x:v>
      </x:c>
      <x:c r="H2" t="n">
        <x:v>2</x:v>
      </x:c>
      <x:c r="I2" t="n">
        <x:v>4</x:v>
      </x:c>
      <x:c r="J2" t="n">
        <x:f>IF(A2="","",SUM(F2:I2))</x:f>
        <x:v>9</x:v>
      </x:c>
      <x:c r="K2" s="14" t="n">
        <x:f>IF(A2="","",J2/10)</x:f>
        <x:v>0.9</x:v>
      </x:c>
      <x:c r="L2" t="n">
        <x:v>4</x:v>
      </x:c>
      <x:c r="M2" t="n">
        <x:f>IF(A2="","",L2-E2)</x:f>
        <x:v>2</x:v>
      </x:c>
      <x:c r="N2" t="str">
        <x:f>IF(A2="","",IF(J2&gt;=9,"Proficient",IF(J2&gt;=7,"Developing",IF(J2&gt;=5,"Needs Refresher","Retraining Required"))))</x:f>
        <x:v>Proficient</x:v>
      </x:c>
      <x:c r="O2" t="str">
        <x:f>IF(A2="","",IF(N2="Proficient","No action",IF(N2="Developing","Provide job aid",IF(N2="Needs Refresher","Targeted microlearning refresher","Re-enroll in training"))))</x:f>
        <x:v>No action</x:v>
      </x:c>
    </x:row>
    <x:row r="3">
      <x:c r="A3" t="str">
        <x:v>CG002</x:v>
      </x:c>
      <x:c r="B3" s="12" t="n">
        <x:v>46244</x:v>
      </x:c>
      <x:c r="C3" t="str">
        <x:v>Central</x:v>
      </x:c>
      <x:c r="D3" t="str">
        <x:v>Limited</x:v>
      </x:c>
      <x:c r="E3" t="n">
        <x:v>3</x:v>
      </x:c>
      <x:c r="F3" t="n">
        <x:v>1</x:v>
      </x:c>
      <x:c r="G3" t="n">
        <x:v>2</x:v>
      </x:c>
      <x:c r="H3" t="n">
        <x:v>1</x:v>
      </x:c>
      <x:c r="I3" t="n">
        <x:v>5</x:v>
      </x:c>
      <x:c r="J3" t="n">
        <x:f>IF(A3="","",SUM(F3:I3))</x:f>
        <x:v>9</x:v>
      </x:c>
      <x:c r="K3" s="14" t="n">
        <x:f>IF(A3="","",J3/10)</x:f>
        <x:v>0.9</x:v>
      </x:c>
      <x:c r="L3" t="n">
        <x:v>5</x:v>
      </x:c>
      <x:c r="M3" t="n">
        <x:f>IF(A3="","",L3-E3)</x:f>
        <x:v>2</x:v>
      </x:c>
      <x:c r="N3" t="str">
        <x:f>IF(A3="","",IF(J3&gt;=9,"Proficient",IF(J3&gt;=7,"Developing",IF(J3&gt;=5,"Needs Refresher","Retraining Required"))))</x:f>
        <x:v>Proficient</x:v>
      </x:c>
      <x:c r="O3" t="str">
        <x:f>IF(A3="","",IF(N3="Proficient","No action",IF(N3="Developing","Provide job aid",IF(N3="Needs Refresher","Targeted microlearning refresher","Re-enroll in training"))))</x:f>
        <x:v>No action</x:v>
      </x:c>
    </x:row>
    <x:row r="4">
      <x:c r="A4" t="str">
        <x:v>CG003</x:v>
      </x:c>
      <x:c r="B4" s="12" t="n">
        <x:v>46244</x:v>
      </x:c>
      <x:c r="C4" t="str">
        <x:v>Southern</x:v>
      </x:c>
      <x:c r="D4" t="str">
        <x:v>Moderate</x:v>
      </x:c>
      <x:c r="E4" t="n">
        <x:v>2</x:v>
      </x:c>
      <x:c r="F4" t="n">
        <x:v>1</x:v>
      </x:c>
      <x:c r="G4" t="n">
        <x:v>1</x:v>
      </x:c>
      <x:c r="H4" t="n">
        <x:v>2</x:v>
      </x:c>
      <x:c r="I4" t="n">
        <x:v>3</x:v>
      </x:c>
      <x:c r="J4" t="n">
        <x:f>IF(A4="","",SUM(F4:I4))</x:f>
        <x:v>7</x:v>
      </x:c>
      <x:c r="K4" s="14" t="n">
        <x:f>IF(A4="","",J4/10)</x:f>
        <x:v>0.7</x:v>
      </x:c>
      <x:c r="L4" t="n">
        <x:v>4</x:v>
      </x:c>
      <x:c r="M4" t="n">
        <x:f>IF(A4="","",L4-E4)</x:f>
        <x:v>2</x:v>
      </x:c>
      <x:c r="N4" t="str">
        <x:f>IF(A4="","",IF(J4&gt;=9,"Proficient",IF(J4&gt;=7,"Developing",IF(J4&gt;=5,"Needs Refresher","Retraining Required"))))</x:f>
        <x:v>Developing</x:v>
      </x:c>
      <x:c r="O4" t="str">
        <x:f>IF(A4="","",IF(N4="Proficient","No action",IF(N4="Developing","Provide job aid",IF(N4="Needs Refresher","Targeted microlearning refresher","Re-enroll in training"))))</x:f>
        <x:v>Provide job aid</x:v>
      </x:c>
    </x:row>
    <x:row r="5">
      <x:c r="A5" t="str">
        <x:v>CG004</x:v>
      </x:c>
      <x:c r="B5" s="12" t="n">
        <x:v>46244</x:v>
      </x:c>
      <x:c r="C5" t="str">
        <x:v>HQ</x:v>
      </x:c>
      <x:c r="D5" t="str">
        <x:v>Experienced</x:v>
      </x:c>
      <x:c r="E5" t="n">
        <x:v>4</x:v>
      </x:c>
      <x:c r="F5" t="n">
        <x:v>1</x:v>
      </x:c>
      <x:c r="G5" t="n">
        <x:v>2</x:v>
      </x:c>
      <x:c r="H5" t="n">
        <x:v>2</x:v>
      </x:c>
      <x:c r="I5" t="n">
        <x:v>5</x:v>
      </x:c>
      <x:c r="J5" t="n">
        <x:f>IF(A5="","",SUM(F5:I5))</x:f>
        <x:v>10</x:v>
      </x:c>
      <x:c r="K5" s="14" t="n">
        <x:f>IF(A5="","",J5/10)</x:f>
        <x:v>1</x:v>
      </x:c>
      <x:c r="L5" t="n">
        <x:v>5</x:v>
      </x:c>
      <x:c r="M5" t="n">
        <x:f>IF(A5="","",L5-E5)</x:f>
        <x:v>1</x:v>
      </x:c>
      <x:c r="N5" t="str">
        <x:f>IF(A5="","",IF(J5&gt;=9,"Proficient",IF(J5&gt;=7,"Developing",IF(J5&gt;=5,"Needs Refresher","Retraining Required"))))</x:f>
        <x:v>Proficient</x:v>
      </x:c>
      <x:c r="O5" t="str">
        <x:f>IF(A5="","",IF(N5="Proficient","No action",IF(N5="Developing","Provide job aid",IF(N5="Needs Refresher","Targeted microlearning refresher","Re-enroll in training"))))</x:f>
        <x:v>No action</x:v>
      </x:c>
    </x:row>
    <x:row r="6">
      <x:c r="A6" t="str">
        <x:v>CG005</x:v>
      </x:c>
      <x:c r="B6" s="12" t="n">
        <x:v>46244</x:v>
      </x:c>
      <x:c r="C6" t="str">
        <x:v>Northern</x:v>
      </x:c>
      <x:c r="D6" t="str">
        <x:v>Limited</x:v>
      </x:c>
      <x:c r="E6" t="n">
        <x:v>1</x:v>
      </x:c>
      <x:c r="F6" t="n">
        <x:v>0</x:v>
      </x:c>
      <x:c r="G6" t="n">
        <x:v>2</x:v>
      </x:c>
      <x:c r="H6" t="n">
        <x:v>1</x:v>
      </x:c>
      <x:c r="I6" t="n">
        <x:v>2</x:v>
      </x:c>
      <x:c r="J6" t="n">
        <x:f>IF(A6="","",SUM(F6:I6))</x:f>
        <x:v>5</x:v>
      </x:c>
      <x:c r="K6" s="14" t="n">
        <x:f>IF(A6="","",J6/10)</x:f>
        <x:v>0.5</x:v>
      </x:c>
      <x:c r="L6" t="n">
        <x:v>3</x:v>
      </x:c>
      <x:c r="M6" t="n">
        <x:f>IF(A6="","",L6-E6)</x:f>
        <x:v>2</x:v>
      </x:c>
      <x:c r="N6" t="str">
        <x:f>IF(A6="","",IF(J6&gt;=9,"Proficient",IF(J6&gt;=7,"Developing",IF(J6&gt;=5,"Needs Refresher","Retraining Required"))))</x:f>
        <x:v>Needs Refresher</x:v>
      </x:c>
      <x:c r="O6" t="str">
        <x:f>IF(A6="","",IF(N6="Proficient","No action",IF(N6="Developing","Provide job aid",IF(N6="Needs Refresher","Targeted microlearning refresher","Re-enroll in training"))))</x:f>
        <x:v>Targeted microlearning refresher</x:v>
      </x:c>
    </x:row>
    <x:row r="7">
      <x:c r="B7" s="12"/>
      <x:c r="J7" t="str">
        <x:f>IF(A7="","",SUM(F7:I7))</x:f>
      </x:c>
      <x:c r="K7" s="14" t="str">
        <x:f>IF(A7="","",J7/10)</x:f>
      </x:c>
      <x:c r="M7" t="str">
        <x:f>IF(A7="","",L7-E7)</x:f>
      </x:c>
      <x:c r="N7" t="str">
        <x:f>IF(A7="","",IF(J7&gt;=9,"Proficient",IF(J7&gt;=7,"Developing",IF(J7&gt;=5,"Needs Refresher","Retraining Required"))))</x:f>
      </x:c>
      <x:c r="O7" t="str">
        <x:f>IF(A7="","",IF(N7="Proficient","No action",IF(N7="Developing","Provide job aid",IF(N7="Needs Refresher","Targeted microlearning refresher","Re-enroll in training"))))</x:f>
      </x:c>
    </x:row>
    <x:row r="8">
      <x:c r="B8" s="12"/>
      <x:c r="J8" t="str">
        <x:f>IF(A8="","",SUM(F8:I8))</x:f>
      </x:c>
      <x:c r="K8" s="14" t="str">
        <x:f>IF(A8="","",J8/10)</x:f>
      </x:c>
      <x:c r="M8" t="str">
        <x:f>IF(A8="","",L8-E8)</x:f>
      </x:c>
      <x:c r="N8" t="str">
        <x:f>IF(A8="","",IF(J8&gt;=9,"Proficient",IF(J8&gt;=7,"Developing",IF(J8&gt;=5,"Needs Refresher","Retraining Required"))))</x:f>
      </x:c>
      <x:c r="O8" t="str">
        <x:f>IF(A8="","",IF(N8="Proficient","No action",IF(N8="Developing","Provide job aid",IF(N8="Needs Refresher","Targeted microlearning refresher","Re-enroll in training"))))</x:f>
      </x:c>
    </x:row>
    <x:row r="9">
      <x:c r="B9" s="12"/>
      <x:c r="J9" t="str">
        <x:f>IF(A9="","",SUM(F9:I9))</x:f>
      </x:c>
      <x:c r="K9" s="14" t="str">
        <x:f>IF(A9="","",J9/10)</x:f>
      </x:c>
      <x:c r="M9" t="str">
        <x:f>IF(A9="","",L9-E9)</x:f>
      </x:c>
      <x:c r="N9" t="str">
        <x:f>IF(A9="","",IF(J9&gt;=9,"Proficient",IF(J9&gt;=7,"Developing",IF(J9&gt;=5,"Needs Refresher","Retraining Required"))))</x:f>
      </x:c>
      <x:c r="O9" t="str">
        <x:f>IF(A9="","",IF(N9="Proficient","No action",IF(N9="Developing","Provide job aid",IF(N9="Needs Refresher","Targeted microlearning refresher","Re-enroll in training"))))</x:f>
      </x:c>
    </x:row>
    <x:row r="10">
      <x:c r="B10" s="12"/>
      <x:c r="J10" t="str">
        <x:f>IF(A10="","",SUM(F10:I10))</x:f>
      </x:c>
      <x:c r="K10" s="14" t="str">
        <x:f>IF(A10="","",J10/10)</x:f>
      </x:c>
      <x:c r="M10" t="str">
        <x:f>IF(A10="","",L10-E10)</x:f>
      </x:c>
      <x:c r="N10" t="str">
        <x:f>IF(A10="","",IF(J10&gt;=9,"Proficient",IF(J10&gt;=7,"Developing",IF(J10&gt;=5,"Needs Refresher","Retraining Required"))))</x:f>
      </x:c>
      <x:c r="O10" t="str">
        <x:f>IF(A10="","",IF(N10="Proficient","No action",IF(N10="Developing","Provide job aid",IF(N10="Needs Refresher","Targeted microlearning refresher","Re-enroll in training"))))</x:f>
      </x:c>
    </x:row>
    <x:row r="11">
      <x:c r="B11" s="12"/>
      <x:c r="J11" t="str">
        <x:f>IF(A11="","",SUM(F11:I11))</x:f>
      </x:c>
      <x:c r="K11" s="14" t="str">
        <x:f>IF(A11="","",J11/10)</x:f>
      </x:c>
      <x:c r="M11" t="str">
        <x:f>IF(A11="","",L11-E11)</x:f>
      </x:c>
      <x:c r="N11" t="str">
        <x:f>IF(A11="","",IF(J11&gt;=9,"Proficient",IF(J11&gt;=7,"Developing",IF(J11&gt;=5,"Needs Refresher","Retraining Required"))))</x:f>
      </x:c>
      <x:c r="O11" t="str">
        <x:f>IF(A11="","",IF(N11="Proficient","No action",IF(N11="Developing","Provide job aid",IF(N11="Needs Refresher","Targeted microlearning refresher","Re-enroll in training"))))</x:f>
      </x:c>
    </x:row>
    <x:row r="12">
      <x:c r="B12" s="12"/>
      <x:c r="J12" t="str">
        <x:f>IF(A12="","",SUM(F12:I12))</x:f>
      </x:c>
      <x:c r="K12" s="14" t="str">
        <x:f>IF(A12="","",J12/10)</x:f>
      </x:c>
      <x:c r="M12" t="str">
        <x:f>IF(A12="","",L12-E12)</x:f>
      </x:c>
      <x:c r="N12" t="str">
        <x:f>IF(A12="","",IF(J12&gt;=9,"Proficient",IF(J12&gt;=7,"Developing",IF(J12&gt;=5,"Needs Refresher","Retraining Required"))))</x:f>
      </x:c>
      <x:c r="O12" t="str">
        <x:f>IF(A12="","",IF(N12="Proficient","No action",IF(N12="Developing","Provide job aid",IF(N12="Needs Refresher","Targeted microlearning refresher","Re-enroll in training"))))</x:f>
      </x:c>
    </x:row>
    <x:row r="13">
      <x:c r="B13" s="12"/>
      <x:c r="J13" t="str">
        <x:f>IF(A13="","",SUM(F13:I13))</x:f>
      </x:c>
      <x:c r="K13" s="14" t="str">
        <x:f>IF(A13="","",J13/10)</x:f>
      </x:c>
      <x:c r="M13" t="str">
        <x:f>IF(A13="","",L13-E13)</x:f>
      </x:c>
      <x:c r="N13" t="str">
        <x:f>IF(A13="","",IF(J13&gt;=9,"Proficient",IF(J13&gt;=7,"Developing",IF(J13&gt;=5,"Needs Refresher","Retraining Required"))))</x:f>
      </x:c>
      <x:c r="O13" t="str">
        <x:f>IF(A13="","",IF(N13="Proficient","No action",IF(N13="Developing","Provide job aid",IF(N13="Needs Refresher","Targeted microlearning refresher","Re-enroll in training"))))</x:f>
      </x:c>
    </x:row>
    <x:row r="14">
      <x:c r="B14" s="12"/>
      <x:c r="J14" t="str">
        <x:f>IF(A14="","",SUM(F14:I14))</x:f>
      </x:c>
      <x:c r="K14" s="14" t="str">
        <x:f>IF(A14="","",J14/10)</x:f>
      </x:c>
      <x:c r="M14" t="str">
        <x:f>IF(A14="","",L14-E14)</x:f>
      </x:c>
      <x:c r="N14" t="str">
        <x:f>IF(A14="","",IF(J14&gt;=9,"Proficient",IF(J14&gt;=7,"Developing",IF(J14&gt;=5,"Needs Refresher","Retraining Required"))))</x:f>
      </x:c>
      <x:c r="O14" t="str">
        <x:f>IF(A14="","",IF(N14="Proficient","No action",IF(N14="Developing","Provide job aid",IF(N14="Needs Refresher","Targeted microlearning refresher","Re-enroll in training"))))</x:f>
      </x:c>
    </x:row>
    <x:row r="15">
      <x:c r="B15" s="12"/>
      <x:c r="J15" t="str">
        <x:f>IF(A15="","",SUM(F15:I15))</x:f>
      </x:c>
      <x:c r="K15" s="14" t="str">
        <x:f>IF(A15="","",J15/10)</x:f>
      </x:c>
      <x:c r="M15" t="str">
        <x:f>IF(A15="","",L15-E15)</x:f>
      </x:c>
      <x:c r="N15" t="str">
        <x:f>IF(A15="","",IF(J15&gt;=9,"Proficient",IF(J15&gt;=7,"Developing",IF(J15&gt;=5,"Needs Refresher","Retraining Required"))))</x:f>
      </x:c>
      <x:c r="O15" t="str">
        <x:f>IF(A15="","",IF(N15="Proficient","No action",IF(N15="Developing","Provide job aid",IF(N15="Needs Refresher","Targeted microlearning refresher","Re-enroll in training"))))</x:f>
      </x:c>
    </x:row>
    <x:row r="16">
      <x:c r="B16" s="12"/>
      <x:c r="J16" t="str">
        <x:f>IF(A16="","",SUM(F16:I16))</x:f>
      </x:c>
      <x:c r="K16" s="14" t="str">
        <x:f>IF(A16="","",J16/10)</x:f>
      </x:c>
      <x:c r="M16" t="str">
        <x:f>IF(A16="","",L16-E16)</x:f>
      </x:c>
      <x:c r="N16" t="str">
        <x:f>IF(A16="","",IF(J16&gt;=9,"Proficient",IF(J16&gt;=7,"Developing",IF(J16&gt;=5,"Needs Refresher","Retraining Required"))))</x:f>
      </x:c>
      <x:c r="O16" t="str">
        <x:f>IF(A16="","",IF(N16="Proficient","No action",IF(N16="Developing","Provide job aid",IF(N16="Needs Refresher","Targeted microlearning refresher","Re-enroll in training"))))</x:f>
      </x:c>
    </x:row>
    <x:row r="17">
      <x:c r="B17" s="12"/>
      <x:c r="J17" t="str">
        <x:f>IF(A17="","",SUM(F17:I17))</x:f>
      </x:c>
      <x:c r="K17" s="14" t="str">
        <x:f>IF(A17="","",J17/10)</x:f>
      </x:c>
      <x:c r="M17" t="str">
        <x:f>IF(A17="","",L17-E17)</x:f>
      </x:c>
      <x:c r="N17" t="str">
        <x:f>IF(A17="","",IF(J17&gt;=9,"Proficient",IF(J17&gt;=7,"Developing",IF(J17&gt;=5,"Needs Refresher","Retraining Required"))))</x:f>
      </x:c>
      <x:c r="O17" t="str">
        <x:f>IF(A17="","",IF(N17="Proficient","No action",IF(N17="Developing","Provide job aid",IF(N17="Needs Refresher","Targeted microlearning refresher","Re-enroll in training"))))</x:f>
      </x:c>
    </x:row>
    <x:row r="18">
      <x:c r="B18" s="12"/>
      <x:c r="J18" t="str">
        <x:f>IF(A18="","",SUM(F18:I18))</x:f>
      </x:c>
      <x:c r="K18" s="14" t="str">
        <x:f>IF(A18="","",J18/10)</x:f>
      </x:c>
      <x:c r="M18" t="str">
        <x:f>IF(A18="","",L18-E18)</x:f>
      </x:c>
      <x:c r="N18" t="str">
        <x:f>IF(A18="","",IF(J18&gt;=9,"Proficient",IF(J18&gt;=7,"Developing",IF(J18&gt;=5,"Needs Refresher","Retraining Required"))))</x:f>
      </x:c>
      <x:c r="O18" t="str">
        <x:f>IF(A18="","",IF(N18="Proficient","No action",IF(N18="Developing","Provide job aid",IF(N18="Needs Refresher","Targeted microlearning refresher","Re-enroll in training"))))</x:f>
      </x:c>
    </x:row>
    <x:row r="19">
      <x:c r="B19" s="12"/>
      <x:c r="J19" t="str">
        <x:f>IF(A19="","",SUM(F19:I19))</x:f>
      </x:c>
      <x:c r="K19" s="14" t="str">
        <x:f>IF(A19="","",J19/10)</x:f>
      </x:c>
      <x:c r="M19" t="str">
        <x:f>IF(A19="","",L19-E19)</x:f>
      </x:c>
      <x:c r="N19" t="str">
        <x:f>IF(A19="","",IF(J19&gt;=9,"Proficient",IF(J19&gt;=7,"Developing",IF(J19&gt;=5,"Needs Refresher","Retraining Required"))))</x:f>
      </x:c>
      <x:c r="O19" t="str">
        <x:f>IF(A19="","",IF(N19="Proficient","No action",IF(N19="Developing","Provide job aid",IF(N19="Needs Refresher","Targeted microlearning refresher","Re-enroll in training"))))</x:f>
      </x:c>
    </x:row>
    <x:row r="20">
      <x:c r="B20" s="12"/>
      <x:c r="J20" t="str">
        <x:f>IF(A20="","",SUM(F20:I20))</x:f>
      </x:c>
      <x:c r="K20" s="14" t="str">
        <x:f>IF(A20="","",J20/10)</x:f>
      </x:c>
      <x:c r="M20" t="str">
        <x:f>IF(A20="","",L20-E20)</x:f>
      </x:c>
      <x:c r="N20" t="str">
        <x:f>IF(A20="","",IF(J20&gt;=9,"Proficient",IF(J20&gt;=7,"Developing",IF(J20&gt;=5,"Needs Refresher","Retraining Required"))))</x:f>
      </x:c>
      <x:c r="O20" t="str">
        <x:f>IF(A20="","",IF(N20="Proficient","No action",IF(N20="Developing","Provide job aid",IF(N20="Needs Refresher","Targeted microlearning refresher","Re-enroll in training"))))</x:f>
      </x:c>
    </x:row>
    <x:row r="21">
      <x:c r="B21" s="12"/>
      <x:c r="J21" t="str">
        <x:f>IF(A21="","",SUM(F21:I21))</x:f>
      </x:c>
      <x:c r="K21" s="14" t="str">
        <x:f>IF(A21="","",J21/10)</x:f>
      </x:c>
      <x:c r="M21" t="str">
        <x:f>IF(A21="","",L21-E21)</x:f>
      </x:c>
      <x:c r="N21" t="str">
        <x:f>IF(A21="","",IF(J21&gt;=9,"Proficient",IF(J21&gt;=7,"Developing",IF(J21&gt;=5,"Needs Refresher","Retraining Required"))))</x:f>
      </x:c>
      <x:c r="O21" t="str">
        <x:f>IF(A21="","",IF(N21="Proficient","No action",IF(N21="Developing","Provide job aid",IF(N21="Needs Refresher","Targeted microlearning refresher","Re-enroll in training"))))</x:f>
      </x:c>
    </x:row>
    <x:row r="22">
      <x:c r="B22" s="12"/>
      <x:c r="J22" t="str">
        <x:f>IF(A22="","",SUM(F22:I22))</x:f>
      </x:c>
      <x:c r="K22" s="14" t="str">
        <x:f>IF(A22="","",J22/10)</x:f>
      </x:c>
      <x:c r="M22" t="str">
        <x:f>IF(A22="","",L22-E22)</x:f>
      </x:c>
      <x:c r="N22" t="str">
        <x:f>IF(A22="","",IF(J22&gt;=9,"Proficient",IF(J22&gt;=7,"Developing",IF(J22&gt;=5,"Needs Refresher","Retraining Required"))))</x:f>
      </x:c>
      <x:c r="O22" t="str">
        <x:f>IF(A22="","",IF(N22="Proficient","No action",IF(N22="Developing","Provide job aid",IF(N22="Needs Refresher","Targeted microlearning refresher","Re-enroll in training"))))</x:f>
      </x:c>
    </x:row>
    <x:row r="23">
      <x:c r="B23" s="12"/>
      <x:c r="J23" t="str">
        <x:f>IF(A23="","",SUM(F23:I23))</x:f>
      </x:c>
      <x:c r="K23" s="14" t="str">
        <x:f>IF(A23="","",J23/10)</x:f>
      </x:c>
      <x:c r="M23" t="str">
        <x:f>IF(A23="","",L23-E23)</x:f>
      </x:c>
      <x:c r="N23" t="str">
        <x:f>IF(A23="","",IF(J23&gt;=9,"Proficient",IF(J23&gt;=7,"Developing",IF(J23&gt;=5,"Needs Refresher","Retraining Required"))))</x:f>
      </x:c>
      <x:c r="O23" t="str">
        <x:f>IF(A23="","",IF(N23="Proficient","No action",IF(N23="Developing","Provide job aid",IF(N23="Needs Refresher","Targeted microlearning refresher","Re-enroll in training"))))</x:f>
      </x:c>
    </x:row>
    <x:row r="24">
      <x:c r="B24" s="12"/>
      <x:c r="J24" t="str">
        <x:f>IF(A24="","",SUM(F24:I24))</x:f>
      </x:c>
      <x:c r="K24" s="14" t="str">
        <x:f>IF(A24="","",J24/10)</x:f>
      </x:c>
      <x:c r="M24" t="str">
        <x:f>IF(A24="","",L24-E24)</x:f>
      </x:c>
      <x:c r="N24" t="str">
        <x:f>IF(A24="","",IF(J24&gt;=9,"Proficient",IF(J24&gt;=7,"Developing",IF(J24&gt;=5,"Needs Refresher","Retraining Required"))))</x:f>
      </x:c>
      <x:c r="O24" t="str">
        <x:f>IF(A24="","",IF(N24="Proficient","No action",IF(N24="Developing","Provide job aid",IF(N24="Needs Refresher","Targeted microlearning refresher","Re-enroll in training"))))</x:f>
      </x:c>
    </x:row>
    <x:row r="25">
      <x:c r="B25" s="12"/>
      <x:c r="J25" t="str">
        <x:f>IF(A25="","",SUM(F25:I25))</x:f>
      </x:c>
      <x:c r="K25" s="14" t="str">
        <x:f>IF(A25="","",J25/10)</x:f>
      </x:c>
      <x:c r="M25" t="str">
        <x:f>IF(A25="","",L25-E25)</x:f>
      </x:c>
      <x:c r="N25" t="str">
        <x:f>IF(A25="","",IF(J25&gt;=9,"Proficient",IF(J25&gt;=7,"Developing",IF(J25&gt;=5,"Needs Refresher","Retraining Required"))))</x:f>
      </x:c>
      <x:c r="O25" t="str">
        <x:f>IF(A25="","",IF(N25="Proficient","No action",IF(N25="Developing","Provide job aid",IF(N25="Needs Refresher","Targeted microlearning refresher","Re-enroll in training"))))</x:f>
      </x:c>
    </x:row>
    <x:row r="26">
      <x:c r="B26" s="12"/>
      <x:c r="J26" t="str">
        <x:f>IF(A26="","",SUM(F26:I26))</x:f>
      </x:c>
      <x:c r="K26" s="14" t="str">
        <x:f>IF(A26="","",J26/10)</x:f>
      </x:c>
      <x:c r="M26" t="str">
        <x:f>IF(A26="","",L26-E26)</x:f>
      </x:c>
      <x:c r="N26" t="str">
        <x:f>IF(A26="","",IF(J26&gt;=9,"Proficient",IF(J26&gt;=7,"Developing",IF(J26&gt;=5,"Needs Refresher","Retraining Required"))))</x:f>
      </x:c>
      <x:c r="O26" t="str">
        <x:f>IF(A26="","",IF(N26="Proficient","No action",IF(N26="Developing","Provide job aid",IF(N26="Needs Refresher","Targeted microlearning refresher","Re-enroll in training"))))</x:f>
      </x:c>
    </x:row>
    <x:row r="27">
      <x:c r="B27" s="12"/>
      <x:c r="J27" t="str">
        <x:f>IF(A27="","",SUM(F27:I27))</x:f>
      </x:c>
      <x:c r="K27" s="14" t="str">
        <x:f>IF(A27="","",J27/10)</x:f>
      </x:c>
      <x:c r="M27" t="str">
        <x:f>IF(A27="","",L27-E27)</x:f>
      </x:c>
      <x:c r="N27" t="str">
        <x:f>IF(A27="","",IF(J27&gt;=9,"Proficient",IF(J27&gt;=7,"Developing",IF(J27&gt;=5,"Needs Refresher","Retraining Required"))))</x:f>
      </x:c>
      <x:c r="O27" t="str">
        <x:f>IF(A27="","",IF(N27="Proficient","No action",IF(N27="Developing","Provide job aid",IF(N27="Needs Refresher","Targeted microlearning refresher","Re-enroll in training"))))</x:f>
      </x:c>
    </x:row>
    <x:row r="28">
      <x:c r="B28" s="12"/>
      <x:c r="J28" t="str">
        <x:f>IF(A28="","",SUM(F28:I28))</x:f>
      </x:c>
      <x:c r="K28" s="14" t="str">
        <x:f>IF(A28="","",J28/10)</x:f>
      </x:c>
      <x:c r="M28" t="str">
        <x:f>IF(A28="","",L28-E28)</x:f>
      </x:c>
      <x:c r="N28" t="str">
        <x:f>IF(A28="","",IF(J28&gt;=9,"Proficient",IF(J28&gt;=7,"Developing",IF(J28&gt;=5,"Needs Refresher","Retraining Required"))))</x:f>
      </x:c>
      <x:c r="O28" t="str">
        <x:f>IF(A28="","",IF(N28="Proficient","No action",IF(N28="Developing","Provide job aid",IF(N28="Needs Refresher","Targeted microlearning refresher","Re-enroll in training"))))</x:f>
      </x:c>
    </x:row>
    <x:row r="29">
      <x:c r="B29" s="12"/>
      <x:c r="J29" t="str">
        <x:f>IF(A29="","",SUM(F29:I29))</x:f>
      </x:c>
      <x:c r="K29" s="14" t="str">
        <x:f>IF(A29="","",J29/10)</x:f>
      </x:c>
      <x:c r="M29" t="str">
        <x:f>IF(A29="","",L29-E29)</x:f>
      </x:c>
      <x:c r="N29" t="str">
        <x:f>IF(A29="","",IF(J29&gt;=9,"Proficient",IF(J29&gt;=7,"Developing",IF(J29&gt;=5,"Needs Refresher","Retraining Required"))))</x:f>
      </x:c>
      <x:c r="O29" t="str">
        <x:f>IF(A29="","",IF(N29="Proficient","No action",IF(N29="Developing","Provide job aid",IF(N29="Needs Refresher","Targeted microlearning refresher","Re-enroll in training"))))</x:f>
      </x:c>
    </x:row>
    <x:row r="30">
      <x:c r="B30" s="12"/>
      <x:c r="J30" t="str">
        <x:f>IF(A30="","",SUM(F30:I30))</x:f>
      </x:c>
      <x:c r="K30" s="14" t="str">
        <x:f>IF(A30="","",J30/10)</x:f>
      </x:c>
      <x:c r="M30" t="str">
        <x:f>IF(A30="","",L30-E30)</x:f>
      </x:c>
      <x:c r="N30" t="str">
        <x:f>IF(A30="","",IF(J30&gt;=9,"Proficient",IF(J30&gt;=7,"Developing",IF(J30&gt;=5,"Needs Refresher","Retraining Required"))))</x:f>
      </x:c>
      <x:c r="O30" t="str">
        <x:f>IF(A30="","",IF(N30="Proficient","No action",IF(N30="Developing","Provide job aid",IF(N30="Needs Refresher","Targeted microlearning refresher","Re-enroll in training"))))</x:f>
      </x:c>
    </x:row>
    <x:row r="31">
      <x:c r="B31" s="12"/>
      <x:c r="J31" t="str">
        <x:f>IF(A31="","",SUM(F31:I31))</x:f>
      </x:c>
      <x:c r="K31" s="14" t="str">
        <x:f>IF(A31="","",J31/10)</x:f>
      </x:c>
      <x:c r="M31" t="str">
        <x:f>IF(A31="","",L31-E31)</x:f>
      </x:c>
      <x:c r="N31" t="str">
        <x:f>IF(A31="","",IF(J31&gt;=9,"Proficient",IF(J31&gt;=7,"Developing",IF(J31&gt;=5,"Needs Refresher","Retraining Required"))))</x:f>
      </x:c>
      <x:c r="O31" t="str">
        <x:f>IF(A31="","",IF(N31="Proficient","No action",IF(N31="Developing","Provide job aid",IF(N31="Needs Refresher","Targeted microlearning refresher","Re-enroll in training"))))</x:f>
      </x:c>
    </x:row>
    <x:row r="32">
      <x:c r="B32" s="12"/>
      <x:c r="J32" t="str">
        <x:f>IF(A32="","",SUM(F32:I32))</x:f>
      </x:c>
      <x:c r="K32" s="14" t="str">
        <x:f>IF(A32="","",J32/10)</x:f>
      </x:c>
      <x:c r="M32" t="str">
        <x:f>IF(A32="","",L32-E32)</x:f>
      </x:c>
      <x:c r="N32" t="str">
        <x:f>IF(A32="","",IF(J32&gt;=9,"Proficient",IF(J32&gt;=7,"Developing",IF(J32&gt;=5,"Needs Refresher","Retraining Required"))))</x:f>
      </x:c>
      <x:c r="O32" t="str">
        <x:f>IF(A32="","",IF(N32="Proficient","No action",IF(N32="Developing","Provide job aid",IF(N32="Needs Refresher","Targeted microlearning refresher","Re-enroll in training"))))</x:f>
      </x:c>
    </x:row>
    <x:row r="33">
      <x:c r="B33" s="12"/>
      <x:c r="J33" t="str">
        <x:f>IF(A33="","",SUM(F33:I33))</x:f>
      </x:c>
      <x:c r="K33" s="14" t="str">
        <x:f>IF(A33="","",J33/10)</x:f>
      </x:c>
      <x:c r="M33" t="str">
        <x:f>IF(A33="","",L33-E33)</x:f>
      </x:c>
      <x:c r="N33" t="str">
        <x:f>IF(A33="","",IF(J33&gt;=9,"Proficient",IF(J33&gt;=7,"Developing",IF(J33&gt;=5,"Needs Refresher","Retraining Required"))))</x:f>
      </x:c>
      <x:c r="O33" t="str">
        <x:f>IF(A33="","",IF(N33="Proficient","No action",IF(N33="Developing","Provide job aid",IF(N33="Needs Refresher","Targeted microlearning refresher","Re-enroll in training"))))</x:f>
      </x:c>
    </x:row>
    <x:row r="34">
      <x:c r="B34" s="12"/>
      <x:c r="J34" t="str">
        <x:f>IF(A34="","",SUM(F34:I34))</x:f>
      </x:c>
      <x:c r="K34" s="14" t="str">
        <x:f>IF(A34="","",J34/10)</x:f>
      </x:c>
      <x:c r="M34" t="str">
        <x:f>IF(A34="","",L34-E34)</x:f>
      </x:c>
      <x:c r="N34" t="str">
        <x:f>IF(A34="","",IF(J34&gt;=9,"Proficient",IF(J34&gt;=7,"Developing",IF(J34&gt;=5,"Needs Refresher","Retraining Required"))))</x:f>
      </x:c>
      <x:c r="O34" t="str">
        <x:f>IF(A34="","",IF(N34="Proficient","No action",IF(N34="Developing","Provide job aid",IF(N34="Needs Refresher","Targeted microlearning refresher","Re-enroll in training"))))</x:f>
      </x:c>
    </x:row>
    <x:row r="35">
      <x:c r="B35" s="12"/>
      <x:c r="J35" t="str">
        <x:f>IF(A35="","",SUM(F35:I35))</x:f>
      </x:c>
      <x:c r="K35" s="14" t="str">
        <x:f>IF(A35="","",J35/10)</x:f>
      </x:c>
      <x:c r="M35" t="str">
        <x:f>IF(A35="","",L35-E35)</x:f>
      </x:c>
      <x:c r="N35" t="str">
        <x:f>IF(A35="","",IF(J35&gt;=9,"Proficient",IF(J35&gt;=7,"Developing",IF(J35&gt;=5,"Needs Refresher","Retraining Required"))))</x:f>
      </x:c>
      <x:c r="O35" t="str">
        <x:f>IF(A35="","",IF(N35="Proficient","No action",IF(N35="Developing","Provide job aid",IF(N35="Needs Refresher","Targeted microlearning refresher","Re-enroll in training"))))</x:f>
      </x:c>
    </x:row>
    <x:row r="36">
      <x:c r="B36" s="12"/>
      <x:c r="J36" t="str">
        <x:f>IF(A36="","",SUM(F36:I36))</x:f>
      </x:c>
      <x:c r="K36" s="14" t="str">
        <x:f>IF(A36="","",J36/10)</x:f>
      </x:c>
      <x:c r="M36" t="str">
        <x:f>IF(A36="","",L36-E36)</x:f>
      </x:c>
      <x:c r="N36" t="str">
        <x:f>IF(A36="","",IF(J36&gt;=9,"Proficient",IF(J36&gt;=7,"Developing",IF(J36&gt;=5,"Needs Refresher","Retraining Required"))))</x:f>
      </x:c>
      <x:c r="O36" t="str">
        <x:f>IF(A36="","",IF(N36="Proficient","No action",IF(N36="Developing","Provide job aid",IF(N36="Needs Refresher","Targeted microlearning refresher","Re-enroll in training"))))</x:f>
      </x:c>
    </x:row>
    <x:row r="37">
      <x:c r="B37" s="12"/>
      <x:c r="J37" t="str">
        <x:f>IF(A37="","",SUM(F37:I37))</x:f>
      </x:c>
      <x:c r="K37" s="14" t="str">
        <x:f>IF(A37="","",J37/10)</x:f>
      </x:c>
      <x:c r="M37" t="str">
        <x:f>IF(A37="","",L37-E37)</x:f>
      </x:c>
      <x:c r="N37" t="str">
        <x:f>IF(A37="","",IF(J37&gt;=9,"Proficient",IF(J37&gt;=7,"Developing",IF(J37&gt;=5,"Needs Refresher","Retraining Required"))))</x:f>
      </x:c>
      <x:c r="O37" t="str">
        <x:f>IF(A37="","",IF(N37="Proficient","No action",IF(N37="Developing","Provide job aid",IF(N37="Needs Refresher","Targeted microlearning refresher","Re-enroll in training"))))</x:f>
      </x:c>
    </x:row>
    <x:row r="38">
      <x:c r="B38" s="12"/>
      <x:c r="J38" t="str">
        <x:f>IF(A38="","",SUM(F38:I38))</x:f>
      </x:c>
      <x:c r="K38" s="14" t="str">
        <x:f>IF(A38="","",J38/10)</x:f>
      </x:c>
      <x:c r="M38" t="str">
        <x:f>IF(A38="","",L38-E38)</x:f>
      </x:c>
      <x:c r="N38" t="str">
        <x:f>IF(A38="","",IF(J38&gt;=9,"Proficient",IF(J38&gt;=7,"Developing",IF(J38&gt;=5,"Needs Refresher","Retraining Required"))))</x:f>
      </x:c>
      <x:c r="O38" t="str">
        <x:f>IF(A38="","",IF(N38="Proficient","No action",IF(N38="Developing","Provide job aid",IF(N38="Needs Refresher","Targeted microlearning refresher","Re-enroll in training"))))</x:f>
      </x:c>
    </x:row>
    <x:row r="39">
      <x:c r="B39" s="12"/>
      <x:c r="J39" t="str">
        <x:f>IF(A39="","",SUM(F39:I39))</x:f>
      </x:c>
      <x:c r="K39" s="14" t="str">
        <x:f>IF(A39="","",J39/10)</x:f>
      </x:c>
      <x:c r="M39" t="str">
        <x:f>IF(A39="","",L39-E39)</x:f>
      </x:c>
      <x:c r="N39" t="str">
        <x:f>IF(A39="","",IF(J39&gt;=9,"Proficient",IF(J39&gt;=7,"Developing",IF(J39&gt;=5,"Needs Refresher","Retraining Required"))))</x:f>
      </x:c>
      <x:c r="O39" t="str">
        <x:f>IF(A39="","",IF(N39="Proficient","No action",IF(N39="Developing","Provide job aid",IF(N39="Needs Refresher","Targeted microlearning refresher","Re-enroll in training"))))</x:f>
      </x:c>
    </x:row>
    <x:row r="40">
      <x:c r="B40" s="12"/>
      <x:c r="J40" t="str">
        <x:f>IF(A40="","",SUM(F40:I40))</x:f>
      </x:c>
      <x:c r="K40" s="14" t="str">
        <x:f>IF(A40="","",J40/10)</x:f>
      </x:c>
      <x:c r="M40" t="str">
        <x:f>IF(A40="","",L40-E40)</x:f>
      </x:c>
      <x:c r="N40" t="str">
        <x:f>IF(A40="","",IF(J40&gt;=9,"Proficient",IF(J40&gt;=7,"Developing",IF(J40&gt;=5,"Needs Refresher","Retraining Required"))))</x:f>
      </x:c>
      <x:c r="O40" t="str">
        <x:f>IF(A40="","",IF(N40="Proficient","No action",IF(N40="Developing","Provide job aid",IF(N40="Needs Refresher","Targeted microlearning refresher","Re-enroll in training"))))</x:f>
      </x:c>
    </x:row>
    <x:row r="41">
      <x:c r="B41" s="12"/>
      <x:c r="J41" t="str">
        <x:f>IF(A41="","",SUM(F41:I41))</x:f>
      </x:c>
      <x:c r="K41" s="14" t="str">
        <x:f>IF(A41="","",J41/10)</x:f>
      </x:c>
      <x:c r="M41" t="str">
        <x:f>IF(A41="","",L41-E41)</x:f>
      </x:c>
      <x:c r="N41" t="str">
        <x:f>IF(A41="","",IF(J41&gt;=9,"Proficient",IF(J41&gt;=7,"Developing",IF(J41&gt;=5,"Needs Refresher","Retraining Required"))))</x:f>
      </x:c>
      <x:c r="O41" t="str">
        <x:f>IF(A41="","",IF(N41="Proficient","No action",IF(N41="Developing","Provide job aid",IF(N41="Needs Refresher","Targeted microlearning refresher","Re-enroll in training"))))</x:f>
      </x:c>
    </x:row>
    <x:row r="42">
      <x:c r="B42" s="12"/>
      <x:c r="J42" t="str">
        <x:f>IF(A42="","",SUM(F42:I42))</x:f>
      </x:c>
      <x:c r="K42" s="14" t="str">
        <x:f>IF(A42="","",J42/10)</x:f>
      </x:c>
      <x:c r="M42" t="str">
        <x:f>IF(A42="","",L42-E42)</x:f>
      </x:c>
      <x:c r="N42" t="str">
        <x:f>IF(A42="","",IF(J42&gt;=9,"Proficient",IF(J42&gt;=7,"Developing",IF(J42&gt;=5,"Needs Refresher","Retraining Required"))))</x:f>
      </x:c>
      <x:c r="O42" t="str">
        <x:f>IF(A42="","",IF(N42="Proficient","No action",IF(N42="Developing","Provide job aid",IF(N42="Needs Refresher","Targeted microlearning refresher","Re-enroll in training"))))</x:f>
      </x:c>
    </x:row>
    <x:row r="43">
      <x:c r="B43" s="12"/>
      <x:c r="J43" t="str">
        <x:f>IF(A43="","",SUM(F43:I43))</x:f>
      </x:c>
      <x:c r="K43" s="14" t="str">
        <x:f>IF(A43="","",J43/10)</x:f>
      </x:c>
      <x:c r="M43" t="str">
        <x:f>IF(A43="","",L43-E43)</x:f>
      </x:c>
      <x:c r="N43" t="str">
        <x:f>IF(A43="","",IF(J43&gt;=9,"Proficient",IF(J43&gt;=7,"Developing",IF(J43&gt;=5,"Needs Refresher","Retraining Required"))))</x:f>
      </x:c>
      <x:c r="O43" t="str">
        <x:f>IF(A43="","",IF(N43="Proficient","No action",IF(N43="Developing","Provide job aid",IF(N43="Needs Refresher","Targeted microlearning refresher","Re-enroll in training"))))</x:f>
      </x:c>
    </x:row>
    <x:row r="44">
      <x:c r="B44" s="12"/>
      <x:c r="J44" t="str">
        <x:f>IF(A44="","",SUM(F44:I44))</x:f>
      </x:c>
      <x:c r="K44" s="14" t="str">
        <x:f>IF(A44="","",J44/10)</x:f>
      </x:c>
      <x:c r="M44" t="str">
        <x:f>IF(A44="","",L44-E44)</x:f>
      </x:c>
      <x:c r="N44" t="str">
        <x:f>IF(A44="","",IF(J44&gt;=9,"Proficient",IF(J44&gt;=7,"Developing",IF(J44&gt;=5,"Needs Refresher","Retraining Required"))))</x:f>
      </x:c>
      <x:c r="O44" t="str">
        <x:f>IF(A44="","",IF(N44="Proficient","No action",IF(N44="Developing","Provide job aid",IF(N44="Needs Refresher","Targeted microlearning refresher","Re-enroll in training"))))</x:f>
      </x:c>
    </x:row>
    <x:row r="45">
      <x:c r="B45" s="12"/>
      <x:c r="J45" t="str">
        <x:f>IF(A45="","",SUM(F45:I45))</x:f>
      </x:c>
      <x:c r="K45" s="14" t="str">
        <x:f>IF(A45="","",J45/10)</x:f>
      </x:c>
      <x:c r="M45" t="str">
        <x:f>IF(A45="","",L45-E45)</x:f>
      </x:c>
      <x:c r="N45" t="str">
        <x:f>IF(A45="","",IF(J45&gt;=9,"Proficient",IF(J45&gt;=7,"Developing",IF(J45&gt;=5,"Needs Refresher","Retraining Required"))))</x:f>
      </x:c>
      <x:c r="O45" t="str">
        <x:f>IF(A45="","",IF(N45="Proficient","No action",IF(N45="Developing","Provide job aid",IF(N45="Needs Refresher","Targeted microlearning refresher","Re-enroll in training"))))</x:f>
      </x:c>
    </x:row>
    <x:row r="46">
      <x:c r="B46" s="12"/>
      <x:c r="J46" t="str">
        <x:f>IF(A46="","",SUM(F46:I46))</x:f>
      </x:c>
      <x:c r="K46" s="14" t="str">
        <x:f>IF(A46="","",J46/10)</x:f>
      </x:c>
      <x:c r="M46" t="str">
        <x:f>IF(A46="","",L46-E46)</x:f>
      </x:c>
      <x:c r="N46" t="str">
        <x:f>IF(A46="","",IF(J46&gt;=9,"Proficient",IF(J46&gt;=7,"Developing",IF(J46&gt;=5,"Needs Refresher","Retraining Required"))))</x:f>
      </x:c>
      <x:c r="O46" t="str">
        <x:f>IF(A46="","",IF(N46="Proficient","No action",IF(N46="Developing","Provide job aid",IF(N46="Needs Refresher","Targeted microlearning refresher","Re-enroll in training"))))</x:f>
      </x:c>
    </x:row>
    <x:row r="47">
      <x:c r="B47" s="12"/>
      <x:c r="J47" t="str">
        <x:f>IF(A47="","",SUM(F47:I47))</x:f>
      </x:c>
      <x:c r="K47" s="14" t="str">
        <x:f>IF(A47="","",J47/10)</x:f>
      </x:c>
      <x:c r="M47" t="str">
        <x:f>IF(A47="","",L47-E47)</x:f>
      </x:c>
      <x:c r="N47" t="str">
        <x:f>IF(A47="","",IF(J47&gt;=9,"Proficient",IF(J47&gt;=7,"Developing",IF(J47&gt;=5,"Needs Refresher","Retraining Required"))))</x:f>
      </x:c>
      <x:c r="O47" t="str">
        <x:f>IF(A47="","",IF(N47="Proficient","No action",IF(N47="Developing","Provide job aid",IF(N47="Needs Refresher","Targeted microlearning refresher","Re-enroll in training"))))</x:f>
      </x:c>
    </x:row>
    <x:row r="48">
      <x:c r="B48" s="12"/>
      <x:c r="J48" t="str">
        <x:f>IF(A48="","",SUM(F48:I48))</x:f>
      </x:c>
      <x:c r="K48" s="14" t="str">
        <x:f>IF(A48="","",J48/10)</x:f>
      </x:c>
      <x:c r="M48" t="str">
        <x:f>IF(A48="","",L48-E48)</x:f>
      </x:c>
      <x:c r="N48" t="str">
        <x:f>IF(A48="","",IF(J48&gt;=9,"Proficient",IF(J48&gt;=7,"Developing",IF(J48&gt;=5,"Needs Refresher","Retraining Required"))))</x:f>
      </x:c>
      <x:c r="O48" t="str">
        <x:f>IF(A48="","",IF(N48="Proficient","No action",IF(N48="Developing","Provide job aid",IF(N48="Needs Refresher","Targeted microlearning refresher","Re-enroll in training"))))</x:f>
      </x:c>
    </x:row>
    <x:row r="49">
      <x:c r="B49" s="12"/>
      <x:c r="J49" t="str">
        <x:f>IF(A49="","",SUM(F49:I49))</x:f>
      </x:c>
      <x:c r="K49" s="14" t="str">
        <x:f>IF(A49="","",J49/10)</x:f>
      </x:c>
      <x:c r="M49" t="str">
        <x:f>IF(A49="","",L49-E49)</x:f>
      </x:c>
      <x:c r="N49" t="str">
        <x:f>IF(A49="","",IF(J49&gt;=9,"Proficient",IF(J49&gt;=7,"Developing",IF(J49&gt;=5,"Needs Refresher","Retraining Required"))))</x:f>
      </x:c>
      <x:c r="O49" t="str">
        <x:f>IF(A49="","",IF(N49="Proficient","No action",IF(N49="Developing","Provide job aid",IF(N49="Needs Refresher","Targeted microlearning refresher","Re-enroll in training"))))</x:f>
      </x:c>
    </x:row>
    <x:row r="50">
      <x:c r="B50" s="12"/>
      <x:c r="J50" t="str">
        <x:f>IF(A50="","",SUM(F50:I50))</x:f>
      </x:c>
      <x:c r="K50" s="14" t="str">
        <x:f>IF(A50="","",J50/10)</x:f>
      </x:c>
      <x:c r="M50" t="str">
        <x:f>IF(A50="","",L50-E50)</x:f>
      </x:c>
      <x:c r="N50" t="str">
        <x:f>IF(A50="","",IF(J50&gt;=9,"Proficient",IF(J50&gt;=7,"Developing",IF(J50&gt;=5,"Needs Refresher","Retraining Required"))))</x:f>
      </x:c>
      <x:c r="O50" t="str">
        <x:f>IF(A50="","",IF(N50="Proficient","No action",IF(N50="Developing","Provide job aid",IF(N50="Needs Refresher","Targeted microlearning refresher","Re-enroll in training"))))</x:f>
      </x:c>
    </x:row>
    <x:row r="51">
      <x:c r="B51" s="12"/>
      <x:c r="J51" t="str">
        <x:f>IF(A51="","",SUM(F51:I51))</x:f>
      </x:c>
      <x:c r="K51" s="14" t="str">
        <x:f>IF(A51="","",J51/10)</x:f>
      </x:c>
      <x:c r="M51" t="str">
        <x:f>IF(A51="","",L51-E51)</x:f>
      </x:c>
      <x:c r="N51" t="str">
        <x:f>IF(A51="","",IF(J51&gt;=9,"Proficient",IF(J51&gt;=7,"Developing",IF(J51&gt;=5,"Needs Refresher","Retraining Required"))))</x:f>
      </x:c>
      <x:c r="O51" t="str">
        <x:f>IF(A51="","",IF(N51="Proficient","No action",IF(N51="Developing","Provide job aid",IF(N51="Needs Refresher","Targeted microlearning refresher","Re-enroll in training"))))</x:f>
      </x:c>
    </x:row>
    <x:row r="52">
      <x:c r="B52" s="12"/>
      <x:c r="J52" t="str">
        <x:f>IF(A52="","",SUM(F52:I52))</x:f>
      </x:c>
      <x:c r="K52" s="14" t="str">
        <x:f>IF(A52="","",J52/10)</x:f>
      </x:c>
      <x:c r="M52" t="str">
        <x:f>IF(A52="","",L52-E52)</x:f>
      </x:c>
      <x:c r="N52" t="str">
        <x:f>IF(A52="","",IF(J52&gt;=9,"Proficient",IF(J52&gt;=7,"Developing",IF(J52&gt;=5,"Needs Refresher","Retraining Required"))))</x:f>
      </x:c>
      <x:c r="O52" t="str">
        <x:f>IF(A52="","",IF(N52="Proficient","No action",IF(N52="Developing","Provide job aid",IF(N52="Needs Refresher","Targeted microlearning refresher","Re-enroll in training"))))</x:f>
      </x:c>
    </x:row>
    <x:row r="53">
      <x:c r="B53" s="12"/>
      <x:c r="J53" t="str">
        <x:f>IF(A53="","",SUM(F53:I53))</x:f>
      </x:c>
      <x:c r="K53" s="14" t="str">
        <x:f>IF(A53="","",J53/10)</x:f>
      </x:c>
      <x:c r="M53" t="str">
        <x:f>IF(A53="","",L53-E53)</x:f>
      </x:c>
      <x:c r="N53" t="str">
        <x:f>IF(A53="","",IF(J53&gt;=9,"Proficient",IF(J53&gt;=7,"Developing",IF(J53&gt;=5,"Needs Refresher","Retraining Required"))))</x:f>
      </x:c>
      <x:c r="O53" t="str">
        <x:f>IF(A53="","",IF(N53="Proficient","No action",IF(N53="Developing","Provide job aid",IF(N53="Needs Refresher","Targeted microlearning refresher","Re-enroll in training"))))</x:f>
      </x:c>
    </x:row>
    <x:row r="54">
      <x:c r="B54" s="12"/>
      <x:c r="J54" t="str">
        <x:f>IF(A54="","",SUM(F54:I54))</x:f>
      </x:c>
      <x:c r="K54" s="14" t="str">
        <x:f>IF(A54="","",J54/10)</x:f>
      </x:c>
      <x:c r="M54" t="str">
        <x:f>IF(A54="","",L54-E54)</x:f>
      </x:c>
      <x:c r="N54" t="str">
        <x:f>IF(A54="","",IF(J54&gt;=9,"Proficient",IF(J54&gt;=7,"Developing",IF(J54&gt;=5,"Needs Refresher","Retraining Required"))))</x:f>
      </x:c>
      <x:c r="O54" t="str">
        <x:f>IF(A54="","",IF(N54="Proficient","No action",IF(N54="Developing","Provide job aid",IF(N54="Needs Refresher","Targeted microlearning refresher","Re-enroll in training"))))</x:f>
      </x:c>
    </x:row>
    <x:row r="55">
      <x:c r="B55" s="12"/>
      <x:c r="J55" t="str">
        <x:f>IF(A55="","",SUM(F55:I55))</x:f>
      </x:c>
      <x:c r="K55" s="14" t="str">
        <x:f>IF(A55="","",J55/10)</x:f>
      </x:c>
      <x:c r="M55" t="str">
        <x:f>IF(A55="","",L55-E55)</x:f>
      </x:c>
      <x:c r="N55" t="str">
        <x:f>IF(A55="","",IF(J55&gt;=9,"Proficient",IF(J55&gt;=7,"Developing",IF(J55&gt;=5,"Needs Refresher","Retraining Required"))))</x:f>
      </x:c>
      <x:c r="O55" t="str">
        <x:f>IF(A55="","",IF(N55="Proficient","No action",IF(N55="Developing","Provide job aid",IF(N55="Needs Refresher","Targeted microlearning refresher","Re-enroll in training"))))</x:f>
      </x:c>
    </x:row>
    <x:row r="56">
      <x:c r="B56" s="12"/>
      <x:c r="J56" t="str">
        <x:f>IF(A56="","",SUM(F56:I56))</x:f>
      </x:c>
      <x:c r="K56" s="14" t="str">
        <x:f>IF(A56="","",J56/10)</x:f>
      </x:c>
      <x:c r="M56" t="str">
        <x:f>IF(A56="","",L56-E56)</x:f>
      </x:c>
      <x:c r="N56" t="str">
        <x:f>IF(A56="","",IF(J56&gt;=9,"Proficient",IF(J56&gt;=7,"Developing",IF(J56&gt;=5,"Needs Refresher","Retraining Required"))))</x:f>
      </x:c>
      <x:c r="O56" t="str">
        <x:f>IF(A56="","",IF(N56="Proficient","No action",IF(N56="Developing","Provide job aid",IF(N56="Needs Refresher","Targeted microlearning refresher","Re-enroll in training"))))</x:f>
      </x:c>
    </x:row>
    <x:row r="57">
      <x:c r="B57" s="12"/>
      <x:c r="J57" t="str">
        <x:f>IF(A57="","",SUM(F57:I57))</x:f>
      </x:c>
      <x:c r="K57" s="14" t="str">
        <x:f>IF(A57="","",J57/10)</x:f>
      </x:c>
      <x:c r="M57" t="str">
        <x:f>IF(A57="","",L57-E57)</x:f>
      </x:c>
      <x:c r="N57" t="str">
        <x:f>IF(A57="","",IF(J57&gt;=9,"Proficient",IF(J57&gt;=7,"Developing",IF(J57&gt;=5,"Needs Refresher","Retraining Required"))))</x:f>
      </x:c>
      <x:c r="O57" t="str">
        <x:f>IF(A57="","",IF(N57="Proficient","No action",IF(N57="Developing","Provide job aid",IF(N57="Needs Refresher","Targeted microlearning refresher","Re-enroll in training"))))</x:f>
      </x:c>
    </x:row>
    <x:row r="58">
      <x:c r="B58" s="12"/>
      <x:c r="J58" t="str">
        <x:f>IF(A58="","",SUM(F58:I58))</x:f>
      </x:c>
      <x:c r="K58" s="14" t="str">
        <x:f>IF(A58="","",J58/10)</x:f>
      </x:c>
      <x:c r="M58" t="str">
        <x:f>IF(A58="","",L58-E58)</x:f>
      </x:c>
      <x:c r="N58" t="str">
        <x:f>IF(A58="","",IF(J58&gt;=9,"Proficient",IF(J58&gt;=7,"Developing",IF(J58&gt;=5,"Needs Refresher","Retraining Required"))))</x:f>
      </x:c>
      <x:c r="O58" t="str">
        <x:f>IF(A58="","",IF(N58="Proficient","No action",IF(N58="Developing","Provide job aid",IF(N58="Needs Refresher","Targeted microlearning refresher","Re-enroll in training"))))</x:f>
      </x:c>
    </x:row>
    <x:row r="59">
      <x:c r="B59" s="12"/>
      <x:c r="J59" t="str">
        <x:f>IF(A59="","",SUM(F59:I59))</x:f>
      </x:c>
      <x:c r="K59" s="14" t="str">
        <x:f>IF(A59="","",J59/10)</x:f>
      </x:c>
      <x:c r="M59" t="str">
        <x:f>IF(A59="","",L59-E59)</x:f>
      </x:c>
      <x:c r="N59" t="str">
        <x:f>IF(A59="","",IF(J59&gt;=9,"Proficient",IF(J59&gt;=7,"Developing",IF(J59&gt;=5,"Needs Refresher","Retraining Required"))))</x:f>
      </x:c>
      <x:c r="O59" t="str">
        <x:f>IF(A59="","",IF(N59="Proficient","No action",IF(N59="Developing","Provide job aid",IF(N59="Needs Refresher","Targeted microlearning refresher","Re-enroll in training"))))</x:f>
      </x:c>
    </x:row>
    <x:row r="60">
      <x:c r="B60" s="12"/>
      <x:c r="J60" t="str">
        <x:f>IF(A60="","",SUM(F60:I60))</x:f>
      </x:c>
      <x:c r="K60" s="14" t="str">
        <x:f>IF(A60="","",J60/10)</x:f>
      </x:c>
      <x:c r="M60" t="str">
        <x:f>IF(A60="","",L60-E60)</x:f>
      </x:c>
      <x:c r="N60" t="str">
        <x:f>IF(A60="","",IF(J60&gt;=9,"Proficient",IF(J60&gt;=7,"Developing",IF(J60&gt;=5,"Needs Refresher","Retraining Required"))))</x:f>
      </x:c>
      <x:c r="O60" t="str">
        <x:f>IF(A60="","",IF(N60="Proficient","No action",IF(N60="Developing","Provide job aid",IF(N60="Needs Refresher","Targeted microlearning refresher","Re-enroll in training"))))</x:f>
      </x:c>
    </x:row>
    <x:row r="61">
      <x:c r="B61" s="12"/>
      <x:c r="J61" t="str">
        <x:f>IF(A61="","",SUM(F61:I61))</x:f>
      </x:c>
      <x:c r="K61" s="14" t="str">
        <x:f>IF(A61="","",J61/10)</x:f>
      </x:c>
      <x:c r="M61" t="str">
        <x:f>IF(A61="","",L61-E61)</x:f>
      </x:c>
      <x:c r="N61" t="str">
        <x:f>IF(A61="","",IF(J61&gt;=9,"Proficient",IF(J61&gt;=7,"Developing",IF(J61&gt;=5,"Needs Refresher","Retraining Required"))))</x:f>
      </x:c>
      <x:c r="O61" t="str">
        <x:f>IF(A61="","",IF(N61="Proficient","No action",IF(N61="Developing","Provide job aid",IF(N61="Needs Refresher","Targeted microlearning refresher","Re-enroll in training"))))</x:f>
      </x:c>
    </x:row>
    <x:row r="62">
      <x:c r="B62" s="12"/>
      <x:c r="J62" t="str">
        <x:f>IF(A62="","",SUM(F62:I62))</x:f>
      </x:c>
      <x:c r="K62" s="14" t="str">
        <x:f>IF(A62="","",J62/10)</x:f>
      </x:c>
      <x:c r="M62" t="str">
        <x:f>IF(A62="","",L62-E62)</x:f>
      </x:c>
      <x:c r="N62" t="str">
        <x:f>IF(A62="","",IF(J62&gt;=9,"Proficient",IF(J62&gt;=7,"Developing",IF(J62&gt;=5,"Needs Refresher","Retraining Required"))))</x:f>
      </x:c>
      <x:c r="O62" t="str">
        <x:f>IF(A62="","",IF(N62="Proficient","No action",IF(N62="Developing","Provide job aid",IF(N62="Needs Refresher","Targeted microlearning refresher","Re-enroll in training"))))</x:f>
      </x:c>
    </x:row>
    <x:row r="63">
      <x:c r="B63" s="12"/>
      <x:c r="J63" t="str">
        <x:f>IF(A63="","",SUM(F63:I63))</x:f>
      </x:c>
      <x:c r="K63" s="14" t="str">
        <x:f>IF(A63="","",J63/10)</x:f>
      </x:c>
      <x:c r="M63" t="str">
        <x:f>IF(A63="","",L63-E63)</x:f>
      </x:c>
      <x:c r="N63" t="str">
        <x:f>IF(A63="","",IF(J63&gt;=9,"Proficient",IF(J63&gt;=7,"Developing",IF(J63&gt;=5,"Needs Refresher","Retraining Required"))))</x:f>
      </x:c>
      <x:c r="O63" t="str">
        <x:f>IF(A63="","",IF(N63="Proficient","No action",IF(N63="Developing","Provide job aid",IF(N63="Needs Refresher","Targeted microlearning refresher","Re-enroll in training"))))</x:f>
      </x:c>
    </x:row>
    <x:row r="64">
      <x:c r="B64" s="12"/>
      <x:c r="J64" t="str">
        <x:f>IF(A64="","",SUM(F64:I64))</x:f>
      </x:c>
      <x:c r="K64" s="14" t="str">
        <x:f>IF(A64="","",J64/10)</x:f>
      </x:c>
      <x:c r="M64" t="str">
        <x:f>IF(A64="","",L64-E64)</x:f>
      </x:c>
      <x:c r="N64" t="str">
        <x:f>IF(A64="","",IF(J64&gt;=9,"Proficient",IF(J64&gt;=7,"Developing",IF(J64&gt;=5,"Needs Refresher","Retraining Required"))))</x:f>
      </x:c>
      <x:c r="O64" t="str">
        <x:f>IF(A64="","",IF(N64="Proficient","No action",IF(N64="Developing","Provide job aid",IF(N64="Needs Refresher","Targeted microlearning refresher","Re-enroll in training"))))</x:f>
      </x:c>
    </x:row>
    <x:row r="65">
      <x:c r="B65" s="12"/>
      <x:c r="J65" t="str">
        <x:f>IF(A65="","",SUM(F65:I65))</x:f>
      </x:c>
      <x:c r="K65" s="14" t="str">
        <x:f>IF(A65="","",J65/10)</x:f>
      </x:c>
      <x:c r="M65" t="str">
        <x:f>IF(A65="","",L65-E65)</x:f>
      </x:c>
      <x:c r="N65" t="str">
        <x:f>IF(A65="","",IF(J65&gt;=9,"Proficient",IF(J65&gt;=7,"Developing",IF(J65&gt;=5,"Needs Refresher","Retraining Required"))))</x:f>
      </x:c>
      <x:c r="O65" t="str">
        <x:f>IF(A65="","",IF(N65="Proficient","No action",IF(N65="Developing","Provide job aid",IF(N65="Needs Refresher","Targeted microlearning refresher","Re-enroll in training"))))</x:f>
      </x:c>
    </x:row>
    <x:row r="66">
      <x:c r="B66" s="12"/>
      <x:c r="J66" t="str">
        <x:f>IF(A66="","",SUM(F66:I66))</x:f>
      </x:c>
      <x:c r="K66" s="14" t="str">
        <x:f>IF(A66="","",J66/10)</x:f>
      </x:c>
      <x:c r="M66" t="str">
        <x:f>IF(A66="","",L66-E66)</x:f>
      </x:c>
      <x:c r="N66" t="str">
        <x:f>IF(A66="","",IF(J66&gt;=9,"Proficient",IF(J66&gt;=7,"Developing",IF(J66&gt;=5,"Needs Refresher","Retraining Required"))))</x:f>
      </x:c>
      <x:c r="O66" t="str">
        <x:f>IF(A66="","",IF(N66="Proficient","No action",IF(N66="Developing","Provide job aid",IF(N66="Needs Refresher","Targeted microlearning refresher","Re-enroll in training"))))</x:f>
      </x:c>
    </x:row>
    <x:row r="67">
      <x:c r="B67" s="12"/>
      <x:c r="J67" t="str">
        <x:f>IF(A67="","",SUM(F67:I67))</x:f>
      </x:c>
      <x:c r="K67" s="14" t="str">
        <x:f>IF(A67="","",J67/10)</x:f>
      </x:c>
      <x:c r="M67" t="str">
        <x:f>IF(A67="","",L67-E67)</x:f>
      </x:c>
      <x:c r="N67" t="str">
        <x:f>IF(A67="","",IF(J67&gt;=9,"Proficient",IF(J67&gt;=7,"Developing",IF(J67&gt;=5,"Needs Refresher","Retraining Required"))))</x:f>
      </x:c>
      <x:c r="O67" t="str">
        <x:f>IF(A67="","",IF(N67="Proficient","No action",IF(N67="Developing","Provide job aid",IF(N67="Needs Refresher","Targeted microlearning refresher","Re-enroll in training"))))</x:f>
      </x:c>
    </x:row>
    <x:row r="68">
      <x:c r="B68" s="12"/>
      <x:c r="J68" t="str">
        <x:f>IF(A68="","",SUM(F68:I68))</x:f>
      </x:c>
      <x:c r="K68" s="14" t="str">
        <x:f>IF(A68="","",J68/10)</x:f>
      </x:c>
      <x:c r="M68" t="str">
        <x:f>IF(A68="","",L68-E68)</x:f>
      </x:c>
      <x:c r="N68" t="str">
        <x:f>IF(A68="","",IF(J68&gt;=9,"Proficient",IF(J68&gt;=7,"Developing",IF(J68&gt;=5,"Needs Refresher","Retraining Required"))))</x:f>
      </x:c>
      <x:c r="O68" t="str">
        <x:f>IF(A68="","",IF(N68="Proficient","No action",IF(N68="Developing","Provide job aid",IF(N68="Needs Refresher","Targeted microlearning refresher","Re-enroll in training"))))</x:f>
      </x:c>
    </x:row>
    <x:row r="69">
      <x:c r="B69" s="12"/>
      <x:c r="J69" t="str">
        <x:f>IF(A69="","",SUM(F69:I69))</x:f>
      </x:c>
      <x:c r="K69" s="14" t="str">
        <x:f>IF(A69="","",J69/10)</x:f>
      </x:c>
      <x:c r="M69" t="str">
        <x:f>IF(A69="","",L69-E69)</x:f>
      </x:c>
      <x:c r="N69" t="str">
        <x:f>IF(A69="","",IF(J69&gt;=9,"Proficient",IF(J69&gt;=7,"Developing",IF(J69&gt;=5,"Needs Refresher","Retraining Required"))))</x:f>
      </x:c>
      <x:c r="O69" t="str">
        <x:f>IF(A69="","",IF(N69="Proficient","No action",IF(N69="Developing","Provide job aid",IF(N69="Needs Refresher","Targeted microlearning refresher","Re-enroll in training"))))</x:f>
      </x:c>
    </x:row>
    <x:row r="70">
      <x:c r="B70" s="12"/>
      <x:c r="J70" t="str">
        <x:f>IF(A70="","",SUM(F70:I70))</x:f>
      </x:c>
      <x:c r="K70" s="14" t="str">
        <x:f>IF(A70="","",J70/10)</x:f>
      </x:c>
      <x:c r="M70" t="str">
        <x:f>IF(A70="","",L70-E70)</x:f>
      </x:c>
      <x:c r="N70" t="str">
        <x:f>IF(A70="","",IF(J70&gt;=9,"Proficient",IF(J70&gt;=7,"Developing",IF(J70&gt;=5,"Needs Refresher","Retraining Required"))))</x:f>
      </x:c>
      <x:c r="O70" t="str">
        <x:f>IF(A70="","",IF(N70="Proficient","No action",IF(N70="Developing","Provide job aid",IF(N70="Needs Refresher","Targeted microlearning refresher","Re-enroll in training"))))</x:f>
      </x:c>
    </x:row>
    <x:row r="71">
      <x:c r="B71" s="12"/>
      <x:c r="J71" t="str">
        <x:f>IF(A71="","",SUM(F71:I71))</x:f>
      </x:c>
      <x:c r="K71" s="14" t="str">
        <x:f>IF(A71="","",J71/10)</x:f>
      </x:c>
      <x:c r="M71" t="str">
        <x:f>IF(A71="","",L71-E71)</x:f>
      </x:c>
      <x:c r="N71" t="str">
        <x:f>IF(A71="","",IF(J71&gt;=9,"Proficient",IF(J71&gt;=7,"Developing",IF(J71&gt;=5,"Needs Refresher","Retraining Required"))))</x:f>
      </x:c>
      <x:c r="O71" t="str">
        <x:f>IF(A71="","",IF(N71="Proficient","No action",IF(N71="Developing","Provide job aid",IF(N71="Needs Refresher","Targeted microlearning refresher","Re-enroll in training"))))</x:f>
      </x:c>
    </x:row>
    <x:row r="72">
      <x:c r="B72" s="12"/>
      <x:c r="J72" t="str">
        <x:f>IF(A72="","",SUM(F72:I72))</x:f>
      </x:c>
      <x:c r="K72" s="14" t="str">
        <x:f>IF(A72="","",J72/10)</x:f>
      </x:c>
      <x:c r="M72" t="str">
        <x:f>IF(A72="","",L72-E72)</x:f>
      </x:c>
      <x:c r="N72" t="str">
        <x:f>IF(A72="","",IF(J72&gt;=9,"Proficient",IF(J72&gt;=7,"Developing",IF(J72&gt;=5,"Needs Refresher","Retraining Required"))))</x:f>
      </x:c>
      <x:c r="O72" t="str">
        <x:f>IF(A72="","",IF(N72="Proficient","No action",IF(N72="Developing","Provide job aid",IF(N72="Needs Refresher","Targeted microlearning refresher","Re-enroll in training"))))</x:f>
      </x:c>
    </x:row>
    <x:row r="73">
      <x:c r="B73" s="12"/>
      <x:c r="J73" t="str">
        <x:f>IF(A73="","",SUM(F73:I73))</x:f>
      </x:c>
      <x:c r="K73" s="14" t="str">
        <x:f>IF(A73="","",J73/10)</x:f>
      </x:c>
      <x:c r="M73" t="str">
        <x:f>IF(A73="","",L73-E73)</x:f>
      </x:c>
      <x:c r="N73" t="str">
        <x:f>IF(A73="","",IF(J73&gt;=9,"Proficient",IF(J73&gt;=7,"Developing",IF(J73&gt;=5,"Needs Refresher","Retraining Required"))))</x:f>
      </x:c>
      <x:c r="O73" t="str">
        <x:f>IF(A73="","",IF(N73="Proficient","No action",IF(N73="Developing","Provide job aid",IF(N73="Needs Refresher","Targeted microlearning refresher","Re-enroll in training"))))</x:f>
      </x:c>
    </x:row>
    <x:row r="74">
      <x:c r="B74" s="12"/>
      <x:c r="J74" t="str">
        <x:f>IF(A74="","",SUM(F74:I74))</x:f>
      </x:c>
      <x:c r="K74" s="14" t="str">
        <x:f>IF(A74="","",J74/10)</x:f>
      </x:c>
      <x:c r="M74" t="str">
        <x:f>IF(A74="","",L74-E74)</x:f>
      </x:c>
      <x:c r="N74" t="str">
        <x:f>IF(A74="","",IF(J74&gt;=9,"Proficient",IF(J74&gt;=7,"Developing",IF(J74&gt;=5,"Needs Refresher","Retraining Required"))))</x:f>
      </x:c>
      <x:c r="O74" t="str">
        <x:f>IF(A74="","",IF(N74="Proficient","No action",IF(N74="Developing","Provide job aid",IF(N74="Needs Refresher","Targeted microlearning refresher","Re-enroll in training"))))</x:f>
      </x:c>
    </x:row>
    <x:row r="75">
      <x:c r="B75" s="12"/>
      <x:c r="J75" t="str">
        <x:f>IF(A75="","",SUM(F75:I75))</x:f>
      </x:c>
      <x:c r="K75" s="14" t="str">
        <x:f>IF(A75="","",J75/10)</x:f>
      </x:c>
      <x:c r="M75" t="str">
        <x:f>IF(A75="","",L75-E75)</x:f>
      </x:c>
      <x:c r="N75" t="str">
        <x:f>IF(A75="","",IF(J75&gt;=9,"Proficient",IF(J75&gt;=7,"Developing",IF(J75&gt;=5,"Needs Refresher","Retraining Required"))))</x:f>
      </x:c>
      <x:c r="O75" t="str">
        <x:f>IF(A75="","",IF(N75="Proficient","No action",IF(N75="Developing","Provide job aid",IF(N75="Needs Refresher","Targeted microlearning refresher","Re-enroll in training"))))</x:f>
      </x:c>
    </x:row>
    <x:row r="76">
      <x:c r="B76" s="12"/>
      <x:c r="J76" t="str">
        <x:f>IF(A76="","",SUM(F76:I76))</x:f>
      </x:c>
      <x:c r="K76" s="14" t="str">
        <x:f>IF(A76="","",J76/10)</x:f>
      </x:c>
      <x:c r="M76" t="str">
        <x:f>IF(A76="","",L76-E76)</x:f>
      </x:c>
      <x:c r="N76" t="str">
        <x:f>IF(A76="","",IF(J76&gt;=9,"Proficient",IF(J76&gt;=7,"Developing",IF(J76&gt;=5,"Needs Refresher","Retraining Required"))))</x:f>
      </x:c>
      <x:c r="O76" t="str">
        <x:f>IF(A76="","",IF(N76="Proficient","No action",IF(N76="Developing","Provide job aid",IF(N76="Needs Refresher","Targeted microlearning refresher","Re-enroll in training"))))</x:f>
      </x:c>
    </x:row>
    <x:row r="77">
      <x:c r="B77" s="12"/>
      <x:c r="J77" t="str">
        <x:f>IF(A77="","",SUM(F77:I77))</x:f>
      </x:c>
      <x:c r="K77" s="14" t="str">
        <x:f>IF(A77="","",J77/10)</x:f>
      </x:c>
      <x:c r="M77" t="str">
        <x:f>IF(A77="","",L77-E77)</x:f>
      </x:c>
      <x:c r="N77" t="str">
        <x:f>IF(A77="","",IF(J77&gt;=9,"Proficient",IF(J77&gt;=7,"Developing",IF(J77&gt;=5,"Needs Refresher","Retraining Required"))))</x:f>
      </x:c>
      <x:c r="O77" t="str">
        <x:f>IF(A77="","",IF(N77="Proficient","No action",IF(N77="Developing","Provide job aid",IF(N77="Needs Refresher","Targeted microlearning refresher","Re-enroll in training"))))</x:f>
      </x:c>
    </x:row>
    <x:row r="78">
      <x:c r="B78" s="12"/>
      <x:c r="J78" t="str">
        <x:f>IF(A78="","",SUM(F78:I78))</x:f>
      </x:c>
      <x:c r="K78" s="14" t="str">
        <x:f>IF(A78="","",J78/10)</x:f>
      </x:c>
      <x:c r="M78" t="str">
        <x:f>IF(A78="","",L78-E78)</x:f>
      </x:c>
      <x:c r="N78" t="str">
        <x:f>IF(A78="","",IF(J78&gt;=9,"Proficient",IF(J78&gt;=7,"Developing",IF(J78&gt;=5,"Needs Refresher","Retraining Required"))))</x:f>
      </x:c>
      <x:c r="O78" t="str">
        <x:f>IF(A78="","",IF(N78="Proficient","No action",IF(N78="Developing","Provide job aid",IF(N78="Needs Refresher","Targeted microlearning refresher","Re-enroll in training"))))</x:f>
      </x:c>
    </x:row>
    <x:row r="79">
      <x:c r="B79" s="12"/>
      <x:c r="J79" t="str">
        <x:f>IF(A79="","",SUM(F79:I79))</x:f>
      </x:c>
      <x:c r="K79" s="14" t="str">
        <x:f>IF(A79="","",J79/10)</x:f>
      </x:c>
      <x:c r="M79" t="str">
        <x:f>IF(A79="","",L79-E79)</x:f>
      </x:c>
      <x:c r="N79" t="str">
        <x:f>IF(A79="","",IF(J79&gt;=9,"Proficient",IF(J79&gt;=7,"Developing",IF(J79&gt;=5,"Needs Refresher","Retraining Required"))))</x:f>
      </x:c>
      <x:c r="O79" t="str">
        <x:f>IF(A79="","",IF(N79="Proficient","No action",IF(N79="Developing","Provide job aid",IF(N79="Needs Refresher","Targeted microlearning refresher","Re-enroll in training"))))</x:f>
      </x:c>
    </x:row>
    <x:row r="80">
      <x:c r="B80" s="12"/>
      <x:c r="J80" t="str">
        <x:f>IF(A80="","",SUM(F80:I80))</x:f>
      </x:c>
      <x:c r="K80" s="14" t="str">
        <x:f>IF(A80="","",J80/10)</x:f>
      </x:c>
      <x:c r="M80" t="str">
        <x:f>IF(A80="","",L80-E80)</x:f>
      </x:c>
      <x:c r="N80" t="str">
        <x:f>IF(A80="","",IF(J80&gt;=9,"Proficient",IF(J80&gt;=7,"Developing",IF(J80&gt;=5,"Needs Refresher","Retraining Required"))))</x:f>
      </x:c>
      <x:c r="O80" t="str">
        <x:f>IF(A80="","",IF(N80="Proficient","No action",IF(N80="Developing","Provide job aid",IF(N80="Needs Refresher","Targeted microlearning refresher","Re-enroll in training"))))</x:f>
      </x:c>
    </x:row>
    <x:row r="81">
      <x:c r="B81" s="12"/>
      <x:c r="J81" t="str">
        <x:f>IF(A81="","",SUM(F81:I81))</x:f>
      </x:c>
      <x:c r="K81" s="14" t="str">
        <x:f>IF(A81="","",J81/10)</x:f>
      </x:c>
      <x:c r="M81" t="str">
        <x:f>IF(A81="","",L81-E81)</x:f>
      </x:c>
      <x:c r="N81" t="str">
        <x:f>IF(A81="","",IF(J81&gt;=9,"Proficient",IF(J81&gt;=7,"Developing",IF(J81&gt;=5,"Needs Refresher","Retraining Required"))))</x:f>
      </x:c>
      <x:c r="O81" t="str">
        <x:f>IF(A81="","",IF(N81="Proficient","No action",IF(N81="Developing","Provide job aid",IF(N81="Needs Refresher","Targeted microlearning refresher","Re-enroll in training"))))</x:f>
      </x:c>
    </x:row>
    <x:row r="82">
      <x:c r="B82" s="12"/>
      <x:c r="J82" t="str">
        <x:f>IF(A82="","",SUM(F82:I82))</x:f>
      </x:c>
      <x:c r="K82" s="14" t="str">
        <x:f>IF(A82="","",J82/10)</x:f>
      </x:c>
      <x:c r="M82" t="str">
        <x:f>IF(A82="","",L82-E82)</x:f>
      </x:c>
      <x:c r="N82" t="str">
        <x:f>IF(A82="","",IF(J82&gt;=9,"Proficient",IF(J82&gt;=7,"Developing",IF(J82&gt;=5,"Needs Refresher","Retraining Required"))))</x:f>
      </x:c>
      <x:c r="O82" t="str">
        <x:f>IF(A82="","",IF(N82="Proficient","No action",IF(N82="Developing","Provide job aid",IF(N82="Needs Refresher","Targeted microlearning refresher","Re-enroll in training"))))</x:f>
      </x:c>
    </x:row>
    <x:row r="83">
      <x:c r="B83" s="12"/>
      <x:c r="J83" t="str">
        <x:f>IF(A83="","",SUM(F83:I83))</x:f>
      </x:c>
      <x:c r="K83" s="14" t="str">
        <x:f>IF(A83="","",J83/10)</x:f>
      </x:c>
      <x:c r="M83" t="str">
        <x:f>IF(A83="","",L83-E83)</x:f>
      </x:c>
      <x:c r="N83" t="str">
        <x:f>IF(A83="","",IF(J83&gt;=9,"Proficient",IF(J83&gt;=7,"Developing",IF(J83&gt;=5,"Needs Refresher","Retraining Required"))))</x:f>
      </x:c>
      <x:c r="O83" t="str">
        <x:f>IF(A83="","",IF(N83="Proficient","No action",IF(N83="Developing","Provide job aid",IF(N83="Needs Refresher","Targeted microlearning refresher","Re-enroll in training"))))</x:f>
      </x:c>
    </x:row>
    <x:row r="84">
      <x:c r="B84" s="12"/>
      <x:c r="J84" t="str">
        <x:f>IF(A84="","",SUM(F84:I84))</x:f>
      </x:c>
      <x:c r="K84" s="14" t="str">
        <x:f>IF(A84="","",J84/10)</x:f>
      </x:c>
      <x:c r="M84" t="str">
        <x:f>IF(A84="","",L84-E84)</x:f>
      </x:c>
      <x:c r="N84" t="str">
        <x:f>IF(A84="","",IF(J84&gt;=9,"Proficient",IF(J84&gt;=7,"Developing",IF(J84&gt;=5,"Needs Refresher","Retraining Required"))))</x:f>
      </x:c>
      <x:c r="O84" t="str">
        <x:f>IF(A84="","",IF(N84="Proficient","No action",IF(N84="Developing","Provide job aid",IF(N84="Needs Refresher","Targeted microlearning refresher","Re-enroll in training"))))</x:f>
      </x:c>
    </x:row>
    <x:row r="85">
      <x:c r="B85" s="12"/>
      <x:c r="J85" t="str">
        <x:f>IF(A85="","",SUM(F85:I85))</x:f>
      </x:c>
      <x:c r="K85" s="14" t="str">
        <x:f>IF(A85="","",J85/10)</x:f>
      </x:c>
      <x:c r="M85" t="str">
        <x:f>IF(A85="","",L85-E85)</x:f>
      </x:c>
      <x:c r="N85" t="str">
        <x:f>IF(A85="","",IF(J85&gt;=9,"Proficient",IF(J85&gt;=7,"Developing",IF(J85&gt;=5,"Needs Refresher","Retraining Required"))))</x:f>
      </x:c>
      <x:c r="O85" t="str">
        <x:f>IF(A85="","",IF(N85="Proficient","No action",IF(N85="Developing","Provide job aid",IF(N85="Needs Refresher","Targeted microlearning refresher","Re-enroll in training"))))</x:f>
      </x:c>
    </x:row>
    <x:row r="86">
      <x:c r="B86" s="12"/>
      <x:c r="J86" t="str">
        <x:f>IF(A86="","",SUM(F86:I86))</x:f>
      </x:c>
      <x:c r="K86" s="14" t="str">
        <x:f>IF(A86="","",J86/10)</x:f>
      </x:c>
      <x:c r="M86" t="str">
        <x:f>IF(A86="","",L86-E86)</x:f>
      </x:c>
      <x:c r="N86" t="str">
        <x:f>IF(A86="","",IF(J86&gt;=9,"Proficient",IF(J86&gt;=7,"Developing",IF(J86&gt;=5,"Needs Refresher","Retraining Required"))))</x:f>
      </x:c>
      <x:c r="O86" t="str">
        <x:f>IF(A86="","",IF(N86="Proficient","No action",IF(N86="Developing","Provide job aid",IF(N86="Needs Refresher","Targeted microlearning refresher","Re-enroll in training"))))</x:f>
      </x:c>
    </x:row>
    <x:row r="87">
      <x:c r="B87" s="12"/>
      <x:c r="J87" t="str">
        <x:f>IF(A87="","",SUM(F87:I87))</x:f>
      </x:c>
      <x:c r="K87" s="14" t="str">
        <x:f>IF(A87="","",J87/10)</x:f>
      </x:c>
      <x:c r="M87" t="str">
        <x:f>IF(A87="","",L87-E87)</x:f>
      </x:c>
      <x:c r="N87" t="str">
        <x:f>IF(A87="","",IF(J87&gt;=9,"Proficient",IF(J87&gt;=7,"Developing",IF(J87&gt;=5,"Needs Refresher","Retraining Required"))))</x:f>
      </x:c>
      <x:c r="O87" t="str">
        <x:f>IF(A87="","",IF(N87="Proficient","No action",IF(N87="Developing","Provide job aid",IF(N87="Needs Refresher","Targeted microlearning refresher","Re-enroll in training"))))</x:f>
      </x:c>
    </x:row>
    <x:row r="88">
      <x:c r="B88" s="12"/>
      <x:c r="J88" t="str">
        <x:f>IF(A88="","",SUM(F88:I88))</x:f>
      </x:c>
      <x:c r="K88" s="14" t="str">
        <x:f>IF(A88="","",J88/10)</x:f>
      </x:c>
      <x:c r="M88" t="str">
        <x:f>IF(A88="","",L88-E88)</x:f>
      </x:c>
      <x:c r="N88" t="str">
        <x:f>IF(A88="","",IF(J88&gt;=9,"Proficient",IF(J88&gt;=7,"Developing",IF(J88&gt;=5,"Needs Refresher","Retraining Required"))))</x:f>
      </x:c>
      <x:c r="O88" t="str">
        <x:f>IF(A88="","",IF(N88="Proficient","No action",IF(N88="Developing","Provide job aid",IF(N88="Needs Refresher","Targeted microlearning refresher","Re-enroll in training"))))</x:f>
      </x:c>
    </x:row>
    <x:row r="89">
      <x:c r="B89" s="12"/>
      <x:c r="J89" t="str">
        <x:f>IF(A89="","",SUM(F89:I89))</x:f>
      </x:c>
      <x:c r="K89" s="14" t="str">
        <x:f>IF(A89="","",J89/10)</x:f>
      </x:c>
      <x:c r="M89" t="str">
        <x:f>IF(A89="","",L89-E89)</x:f>
      </x:c>
      <x:c r="N89" t="str">
        <x:f>IF(A89="","",IF(J89&gt;=9,"Proficient",IF(J89&gt;=7,"Developing",IF(J89&gt;=5,"Needs Refresher","Retraining Required"))))</x:f>
      </x:c>
      <x:c r="O89" t="str">
        <x:f>IF(A89="","",IF(N89="Proficient","No action",IF(N89="Developing","Provide job aid",IF(N89="Needs Refresher","Targeted microlearning refresher","Re-enroll in training"))))</x:f>
      </x:c>
    </x:row>
    <x:row r="90">
      <x:c r="B90" s="12"/>
      <x:c r="J90" t="str">
        <x:f>IF(A90="","",SUM(F90:I90))</x:f>
      </x:c>
      <x:c r="K90" s="14" t="str">
        <x:f>IF(A90="","",J90/10)</x:f>
      </x:c>
      <x:c r="M90" t="str">
        <x:f>IF(A90="","",L90-E90)</x:f>
      </x:c>
      <x:c r="N90" t="str">
        <x:f>IF(A90="","",IF(J90&gt;=9,"Proficient",IF(J90&gt;=7,"Developing",IF(J90&gt;=5,"Needs Refresher","Retraining Required"))))</x:f>
      </x:c>
      <x:c r="O90" t="str">
        <x:f>IF(A90="","",IF(N90="Proficient","No action",IF(N90="Developing","Provide job aid",IF(N90="Needs Refresher","Targeted microlearning refresher","Re-enroll in training"))))</x:f>
      </x:c>
    </x:row>
    <x:row r="91">
      <x:c r="B91" s="12"/>
      <x:c r="J91" t="str">
        <x:f>IF(A91="","",SUM(F91:I91))</x:f>
      </x:c>
      <x:c r="K91" s="14" t="str">
        <x:f>IF(A91="","",J91/10)</x:f>
      </x:c>
      <x:c r="M91" t="str">
        <x:f>IF(A91="","",L91-E91)</x:f>
      </x:c>
      <x:c r="N91" t="str">
        <x:f>IF(A91="","",IF(J91&gt;=9,"Proficient",IF(J91&gt;=7,"Developing",IF(J91&gt;=5,"Needs Refresher","Retraining Required"))))</x:f>
      </x:c>
      <x:c r="O91" t="str">
        <x:f>IF(A91="","",IF(N91="Proficient","No action",IF(N91="Developing","Provide job aid",IF(N91="Needs Refresher","Targeted microlearning refresher","Re-enroll in training"))))</x:f>
      </x:c>
    </x:row>
    <x:row r="92">
      <x:c r="B92" s="12"/>
      <x:c r="J92" t="str">
        <x:f>IF(A92="","",SUM(F92:I92))</x:f>
      </x:c>
      <x:c r="K92" s="14" t="str">
        <x:f>IF(A92="","",J92/10)</x:f>
      </x:c>
      <x:c r="M92" t="str">
        <x:f>IF(A92="","",L92-E92)</x:f>
      </x:c>
      <x:c r="N92" t="str">
        <x:f>IF(A92="","",IF(J92&gt;=9,"Proficient",IF(J92&gt;=7,"Developing",IF(J92&gt;=5,"Needs Refresher","Retraining Required"))))</x:f>
      </x:c>
      <x:c r="O92" t="str">
        <x:f>IF(A92="","",IF(N92="Proficient","No action",IF(N92="Developing","Provide job aid",IF(N92="Needs Refresher","Targeted microlearning refresher","Re-enroll in training"))))</x:f>
      </x:c>
    </x:row>
    <x:row r="93">
      <x:c r="B93" s="12"/>
      <x:c r="J93" t="str">
        <x:f>IF(A93="","",SUM(F93:I93))</x:f>
      </x:c>
      <x:c r="K93" s="14" t="str">
        <x:f>IF(A93="","",J93/10)</x:f>
      </x:c>
      <x:c r="M93" t="str">
        <x:f>IF(A93="","",L93-E93)</x:f>
      </x:c>
      <x:c r="N93" t="str">
        <x:f>IF(A93="","",IF(J93&gt;=9,"Proficient",IF(J93&gt;=7,"Developing",IF(J93&gt;=5,"Needs Refresher","Retraining Required"))))</x:f>
      </x:c>
      <x:c r="O93" t="str">
        <x:f>IF(A93="","",IF(N93="Proficient","No action",IF(N93="Developing","Provide job aid",IF(N93="Needs Refresher","Targeted microlearning refresher","Re-enroll in training"))))</x:f>
      </x:c>
    </x:row>
    <x:row r="94">
      <x:c r="B94" s="12"/>
      <x:c r="J94" t="str">
        <x:f>IF(A94="","",SUM(F94:I94))</x:f>
      </x:c>
      <x:c r="K94" s="14" t="str">
        <x:f>IF(A94="","",J94/10)</x:f>
      </x:c>
      <x:c r="M94" t="str">
        <x:f>IF(A94="","",L94-E94)</x:f>
      </x:c>
      <x:c r="N94" t="str">
        <x:f>IF(A94="","",IF(J94&gt;=9,"Proficient",IF(J94&gt;=7,"Developing",IF(J94&gt;=5,"Needs Refresher","Retraining Required"))))</x:f>
      </x:c>
      <x:c r="O94" t="str">
        <x:f>IF(A94="","",IF(N94="Proficient","No action",IF(N94="Developing","Provide job aid",IF(N94="Needs Refresher","Targeted microlearning refresher","Re-enroll in training"))))</x:f>
      </x:c>
    </x:row>
    <x:row r="95">
      <x:c r="B95" s="12"/>
      <x:c r="J95" t="str">
        <x:f>IF(A95="","",SUM(F95:I95))</x:f>
      </x:c>
      <x:c r="K95" s="14" t="str">
        <x:f>IF(A95="","",J95/10)</x:f>
      </x:c>
      <x:c r="M95" t="str">
        <x:f>IF(A95="","",L95-E95)</x:f>
      </x:c>
      <x:c r="N95" t="str">
        <x:f>IF(A95="","",IF(J95&gt;=9,"Proficient",IF(J95&gt;=7,"Developing",IF(J95&gt;=5,"Needs Refresher","Retraining Required"))))</x:f>
      </x:c>
      <x:c r="O95" t="str">
        <x:f>IF(A95="","",IF(N95="Proficient","No action",IF(N95="Developing","Provide job aid",IF(N95="Needs Refresher","Targeted microlearning refresher","Re-enroll in training"))))</x:f>
      </x:c>
    </x:row>
    <x:row r="96">
      <x:c r="B96" s="12"/>
      <x:c r="J96" t="str">
        <x:f>IF(A96="","",SUM(F96:I96))</x:f>
      </x:c>
      <x:c r="K96" s="14" t="str">
        <x:f>IF(A96="","",J96/10)</x:f>
      </x:c>
      <x:c r="M96" t="str">
        <x:f>IF(A96="","",L96-E96)</x:f>
      </x:c>
      <x:c r="N96" t="str">
        <x:f>IF(A96="","",IF(J96&gt;=9,"Proficient",IF(J96&gt;=7,"Developing",IF(J96&gt;=5,"Needs Refresher","Retraining Required"))))</x:f>
      </x:c>
      <x:c r="O96" t="str">
        <x:f>IF(A96="","",IF(N96="Proficient","No action",IF(N96="Developing","Provide job aid",IF(N96="Needs Refresher","Targeted microlearning refresher","Re-enroll in training"))))</x:f>
      </x:c>
    </x:row>
    <x:row r="97">
      <x:c r="B97" s="12"/>
      <x:c r="J97" t="str">
        <x:f>IF(A97="","",SUM(F97:I97))</x:f>
      </x:c>
      <x:c r="K97" s="14" t="str">
        <x:f>IF(A97="","",J97/10)</x:f>
      </x:c>
      <x:c r="M97" t="str">
        <x:f>IF(A97="","",L97-E97)</x:f>
      </x:c>
      <x:c r="N97" t="str">
        <x:f>IF(A97="","",IF(J97&gt;=9,"Proficient",IF(J97&gt;=7,"Developing",IF(J97&gt;=5,"Needs Refresher","Retraining Required"))))</x:f>
      </x:c>
      <x:c r="O97" t="str">
        <x:f>IF(A97="","",IF(N97="Proficient","No action",IF(N97="Developing","Provide job aid",IF(N97="Needs Refresher","Targeted microlearning refresher","Re-enroll in training"))))</x:f>
      </x:c>
    </x:row>
    <x:row r="98">
      <x:c r="B98" s="12"/>
      <x:c r="J98" t="str">
        <x:f>IF(A98="","",SUM(F98:I98))</x:f>
      </x:c>
      <x:c r="K98" s="14" t="str">
        <x:f>IF(A98="","",J98/10)</x:f>
      </x:c>
      <x:c r="M98" t="str">
        <x:f>IF(A98="","",L98-E98)</x:f>
      </x:c>
      <x:c r="N98" t="str">
        <x:f>IF(A98="","",IF(J98&gt;=9,"Proficient",IF(J98&gt;=7,"Developing",IF(J98&gt;=5,"Needs Refresher","Retraining Required"))))</x:f>
      </x:c>
      <x:c r="O98" t="str">
        <x:f>IF(A98="","",IF(N98="Proficient","No action",IF(N98="Developing","Provide job aid",IF(N98="Needs Refresher","Targeted microlearning refresher","Re-enroll in training"))))</x:f>
      </x:c>
    </x:row>
    <x:row r="99">
      <x:c r="B99" s="12"/>
      <x:c r="J99" t="str">
        <x:f>IF(A99="","",SUM(F99:I99))</x:f>
      </x:c>
      <x:c r="K99" s="14" t="str">
        <x:f>IF(A99="","",J99/10)</x:f>
      </x:c>
      <x:c r="M99" t="str">
        <x:f>IF(A99="","",L99-E99)</x:f>
      </x:c>
      <x:c r="N99" t="str">
        <x:f>IF(A99="","",IF(J99&gt;=9,"Proficient",IF(J99&gt;=7,"Developing",IF(J99&gt;=5,"Needs Refresher","Retraining Required"))))</x:f>
      </x:c>
      <x:c r="O99" t="str">
        <x:f>IF(A99="","",IF(N99="Proficient","No action",IF(N99="Developing","Provide job aid",IF(N99="Needs Refresher","Targeted microlearning refresher","Re-enroll in training"))))</x:f>
      </x:c>
    </x:row>
    <x:row r="100">
      <x:c r="B100" s="12"/>
      <x:c r="J100" t="str">
        <x:f>IF(A100="","",SUM(F100:I100))</x:f>
      </x:c>
      <x:c r="K100" s="14" t="str">
        <x:f>IF(A100="","",J100/10)</x:f>
      </x:c>
      <x:c r="M100" t="str">
        <x:f>IF(A100="","",L100-E100)</x:f>
      </x:c>
      <x:c r="N100" t="str">
        <x:f>IF(A100="","",IF(J100&gt;=9,"Proficient",IF(J100&gt;=7,"Developing",IF(J100&gt;=5,"Needs Refresher","Retraining Required"))))</x:f>
      </x:c>
      <x:c r="O100" t="str">
        <x:f>IF(A100="","",IF(N100="Proficient","No action",IF(N100="Developing","Provide job aid",IF(N100="Needs Refresher","Targeted microlearning refresher","Re-enroll in training"))))</x:f>
      </x:c>
    </x:row>
  </x:sheetData>
  <x:conditionalFormatting sqref="K2:K1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2:M100">
    <x:cfRule type="dataBar" priority="2">
      <x:dataBar>
        <x:cfvo type="min"/>
        <x:cfvo type="max"/>
        <x:color rgb="FF6AA84F"/>
      </x:dataBar>
      <x:extLst>
        <x:ext xmlns:x14="http://schemas.microsoft.com/office/spreadsheetml/2009/9/main" uri="{B025F937-C7B1-47D3-B67F-A62EFF666E3E}">
          <x14:id>{7C27F2F9-CF5B-6711-406E-161D8EC6AC2E}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5d9fabef71f4d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C27F2F9-CF5B-6711-406E-161D8EC6AC2E}">
            <x14:dataBar gradient="1">
              <x14:cfvo type="min"/>
              <x14:cfvo type="max"/>
              <x14:fillColor rgb="FF6AA84F"/>
            </x14:dataBar>
          </x14:cfRule>
          <xm:sqref>M2:M100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9" t="str">
        <x:v>WellSTAR Training Competency Dashboard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4">
      <x:c r="A4" s="27" t="str">
        <x:v>Average Competency</x:v>
      </x:c>
      <x:c r="B4" s="27"/>
      <x:c r="C4" s="27"/>
      <x:c r="D4" s="27" t="str">
        <x:v>Average Score</x:v>
      </x:c>
      <x:c r="E4" s="27"/>
      <x:c r="F4" s="27"/>
      <x:c r="G4" s="27" t="str">
        <x:v>Need Follow Up</x:v>
      </x:c>
      <x:c r="H4" s="27"/>
      <x:c r="I4" s="27"/>
      <x:c r="J4" s="27" t="str">
        <x:v>Avg Confidence Gain</x:v>
      </x:c>
      <x:c r="K4" s="27"/>
      <x:c r="L4" s="27"/>
    </x:row>
    <x:row r="5">
      <x:c r="A5" s="40" t="n">
        <x:f>AVERAGE('Assessment Data'!K2:K100)</x:f>
        <x:v>0.8</x:v>
      </x:c>
      <x:c r="B5" s="40"/>
      <x:c r="C5" s="40"/>
      <x:c r="D5" s="42" t="n">
        <x:f>AVERAGE('Assessment Data'!J2:J100)</x:f>
        <x:v>8</x:v>
      </x:c>
      <x:c r="E5" s="42"/>
      <x:c r="F5" s="42"/>
      <x:c r="G5" s="44" t="n">
        <x:f>COUNTIF('Assessment Data'!N2:N100,"Needs Refresher")+COUNTIF('Assessment Data'!N2:N100,"Retraining Required")</x:f>
        <x:v>1</x:v>
      </x:c>
      <x:c r="H5" s="44"/>
      <x:c r="I5" s="44"/>
      <x:c r="J5" s="42" t="n">
        <x:f>AVERAGE('Assessment Data'!M2:M100)</x:f>
        <x:v>1.8</x:v>
      </x:c>
      <x:c r="K5" s="42"/>
      <x:c r="L5" s="42"/>
    </x:row>
    <x:row r="6">
      <x:c r="A6" s="40"/>
      <x:c r="B6" s="40"/>
      <x:c r="C6" s="40"/>
      <x:c r="D6" s="42"/>
      <x:c r="E6" s="42"/>
      <x:c r="F6" s="42"/>
      <x:c r="G6" s="44"/>
      <x:c r="H6" s="44"/>
      <x:c r="I6" s="44"/>
      <x:c r="J6" s="42"/>
      <x:c r="K6" s="42"/>
      <x:c r="L6" s="42"/>
    </x:row>
    <x:row r="8">
      <x:c r="A8" s="3" t="str">
        <x:v>Management Summary</x:v>
      </x:c>
      <x:c r="B8" s="3"/>
      <x:c r="C8" s="3"/>
      <x:c r="D8" s="3"/>
      <x:c r="E8" s="3"/>
      <x:c r="F8" s="3"/>
      <x:c r="H8" s="25" t="str">
        <x:v>Competency Level</x:v>
      </x:c>
      <x:c r="I8" s="25" t="str">
        <x:v>Count</x:v>
      </x:c>
    </x:row>
    <x:row r="9">
      <x:c r="A9" s="47" t="str">
        <x:f>IF(MIN('Question Analytics'!E2:E5)&gt;=0.9,"All assessed competencies are meeting target. Maintain current training and monitor future cohorts.",IF('Question Analytics'!E5&lt;0.75,"Applied simulation performance is the primary gap. Recommend a short task-based refresher and job aid before full course redesign.","One or more competencies are below target. Review question-level performance and use targeted reinforcement before considering full course revision."))</x:f>
        <x:v>One or more competencies are below target. Review question-level performance and use targeted reinforcement before considering full course revision.</x:v>
      </x:c>
      <x:c r="B9" s="47"/>
      <x:c r="C9" s="47"/>
      <x:c r="D9" s="47"/>
      <x:c r="E9" s="47"/>
      <x:c r="F9" s="47"/>
      <x:c r="H9" t="str">
        <x:v>Proficient</x:v>
      </x:c>
      <x:c r="I9" t="n">
        <x:f>COUNTIF('Assessment Data'!N2:N100,"Proficient")</x:f>
        <x:v>3</x:v>
      </x:c>
    </x:row>
    <x:row r="10">
      <x:c r="A10" s="47"/>
      <x:c r="B10" s="47"/>
      <x:c r="C10" s="47"/>
      <x:c r="D10" s="47"/>
      <x:c r="E10" s="47"/>
      <x:c r="F10" s="47"/>
      <x:c r="H10" t="str">
        <x:v>Developing</x:v>
      </x:c>
      <x:c r="I10" t="n">
        <x:f>COUNTIF('Assessment Data'!N2:N100,"Developing")</x:f>
        <x:v>1</x:v>
      </x:c>
    </x:row>
    <x:row r="11">
      <x:c r="A11" s="47"/>
      <x:c r="B11" s="47"/>
      <x:c r="C11" s="47"/>
      <x:c r="D11" s="47"/>
      <x:c r="E11" s="47"/>
      <x:c r="F11" s="47"/>
      <x:c r="H11" t="str">
        <x:v>Needs Refresher</x:v>
      </x:c>
      <x:c r="I11" t="n">
        <x:f>COUNTIF('Assessment Data'!N2:N100,"Needs Refresher")</x:f>
        <x:v>1</x:v>
      </x:c>
    </x:row>
    <x:row r="12">
      <x:c r="A12" s="47"/>
      <x:c r="B12" s="47"/>
      <x:c r="C12" s="47"/>
      <x:c r="D12" s="47"/>
      <x:c r="E12" s="47"/>
      <x:c r="F12" s="47"/>
      <x:c r="H12" t="str">
        <x:v>Retraining Required</x:v>
      </x:c>
      <x:c r="I12" t="n">
        <x:f>COUNTIF('Assessment Data'!N2:N100,"Retraining Required")</x:f>
        <x:v>0</x:v>
      </x:c>
    </x:row>
    <x:row r="13">
      <x:c r="A13" s="47"/>
      <x:c r="B13" s="47"/>
      <x:c r="C13" s="47"/>
      <x:c r="D13" s="47"/>
      <x:c r="E13" s="47"/>
      <x:c r="F13" s="47"/>
    </x:row>
    <x:row r="15">
      <x:c r="H15" s="25" t="str">
        <x:v>Question</x:v>
      </x:c>
      <x:c r="I15" s="25" t="str">
        <x:v>Performance %</x:v>
      </x:c>
    </x:row>
    <x:row r="16">
      <x:c r="H16" t="str">
        <x:v>Q1</x:v>
      </x:c>
      <x:c r="I16" s="14" t="n">
        <x:f>'Question Analytics'!E2</x:f>
        <x:v>0.8</x:v>
      </x:c>
    </x:row>
    <x:row r="17">
      <x:c r="H17" t="str">
        <x:v>Q2</x:v>
      </x:c>
      <x:c r="I17" s="14" t="n">
        <x:f>'Question Analytics'!E3</x:f>
        <x:v>0.9</x:v>
      </x:c>
    </x:row>
    <x:row r="18">
      <x:c r="H18" t="str">
        <x:v>Q3</x:v>
      </x:c>
      <x:c r="I18" s="14" t="n">
        <x:f>'Question Analytics'!E4</x:f>
        <x:v>0.8</x:v>
      </x:c>
    </x:row>
    <x:row r="19">
      <x:c r="H19" t="str">
        <x:v>Q4</x:v>
      </x:c>
      <x:c r="I19" s="14" t="n">
        <x:f>'Question Analytics'!E5</x:f>
        <x:v>0.76</x:v>
      </x:c>
    </x:row>
  </x:sheetData>
  <x:mergeCells>
    <x:mergeCell ref="A1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F8"/>
    <x:mergeCell ref="A9:F13"/>
  </x:mergeCells>
  <x:pageMargins left="0.7" right="0.7" top="0.75" bottom="0.75" header="0.3" footer="0.3"/>
  <x:drawing xmlns:r="http://schemas.openxmlformats.org/officeDocument/2006/relationships" r:id="R957b9065e89443e0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</x:cols>
  <x:sheetData>
    <x:row r="1">
      <x:c r="A1" s="4" t="str">
        <x:v>Question</x:v>
      </x:c>
      <x:c r="B1" s="4" t="str">
        <x:v>Skill</x:v>
      </x:c>
      <x:c r="C1" s="4" t="str">
        <x:v>Max Points</x:v>
      </x:c>
      <x:c r="D1" s="4" t="str">
        <x:v>Average Score</x:v>
      </x:c>
      <x:c r="E1" s="4" t="str">
        <x:v>Performance %</x:v>
      </x:c>
      <x:c r="F1" s="4" t="str">
        <x:v>Gap %</x:v>
      </x:c>
      <x:c r="G1" s="4" t="str">
        <x:v>Recommended Response</x:v>
      </x:c>
    </x:row>
    <x:row r="2">
      <x:c r="A2" t="str">
        <x:v>Q1</x:v>
      </x:c>
      <x:c r="B2" t="str">
        <x:v>Recall / Search behavior</x:v>
      </x:c>
      <x:c r="C2" t="n">
        <x:v>1</x:v>
      </x:c>
      <x:c r="D2" t="n">
        <x:f>AVERAGE('Assessment Data'!F2:F100)</x:f>
        <x:v>0.8</x:v>
      </x:c>
      <x:c r="E2" s="14" t="n">
        <x:f>IFERROR(D2/C2,0)</x:f>
        <x:v>0.8</x:v>
      </x:c>
      <x:c r="F2" s="14" t="n">
        <x:f>1-E2</x:f>
        <x:v>0.19999999999999996</x:v>
      </x:c>
      <x:c r="G2" t="str">
        <x:f>IF(E2&gt;=0.9,"No action",IF(E2&gt;=0.75,"Provide job aid / reinforcement",IF(E2&gt;=0.6,"Targeted refresher","Revise training + reassess")))</x:f>
        <x:v>Provide job aid / reinforcement</x:v>
      </x:c>
    </x:row>
    <x:row r="3">
      <x:c r="A3" t="str">
        <x:v>Q2</x:v>
      </x:c>
      <x:c r="B3" t="str">
        <x:v>Procedural sequencing</x:v>
      </x:c>
      <x:c r="C3" t="n">
        <x:v>2</x:v>
      </x:c>
      <x:c r="D3" t="n">
        <x:f>AVERAGE('Assessment Data'!G2:G100)</x:f>
        <x:v>1.8</x:v>
      </x:c>
      <x:c r="E3" s="14" t="n">
        <x:f>IFERROR(D3/C3,0)</x:f>
        <x:v>0.9</x:v>
      </x:c>
      <x:c r="F3" s="14" t="n">
        <x:f>1-E3</x:f>
        <x:v>0.09999999999999998</x:v>
      </x:c>
      <x:c r="G3" t="str">
        <x:f>IF(E3&gt;=0.9,"No action",IF(E3&gt;=0.75,"Provide job aid / reinforcement",IF(E3&gt;=0.6,"Targeted refresher","Revise training + reassess")))</x:f>
        <x:v>No action</x:v>
      </x:c>
    </x:row>
    <x:row r="4">
      <x:c r="A4" t="str">
        <x:v>Q3</x:v>
      </x:c>
      <x:c r="B4" t="str">
        <x:v>Interface recognition</x:v>
      </x:c>
      <x:c r="C4" t="n">
        <x:v>2</x:v>
      </x:c>
      <x:c r="D4" t="n">
        <x:f>AVERAGE('Assessment Data'!H2:H100)</x:f>
        <x:v>1.6</x:v>
      </x:c>
      <x:c r="E4" s="14" t="n">
        <x:f>IFERROR(D4/C4,0)</x:f>
        <x:v>0.8</x:v>
      </x:c>
      <x:c r="F4" s="14" t="n">
        <x:f>1-E4</x:f>
        <x:v>0.19999999999999996</x:v>
      </x:c>
      <x:c r="G4" t="str">
        <x:f>IF(E4&gt;=0.9,"No action",IF(E4&gt;=0.75,"Provide job aid / reinforcement",IF(E4&gt;=0.6,"Targeted refresher","Revise training + reassess")))</x:f>
        <x:v>Provide job aid / reinforcement</x:v>
      </x:c>
    </x:row>
    <x:row r="5">
      <x:c r="A5" t="str">
        <x:v>Q4</x:v>
      </x:c>
      <x:c r="B5" t="str">
        <x:v>Applied task simulation</x:v>
      </x:c>
      <x:c r="C5" t="n">
        <x:v>5</x:v>
      </x:c>
      <x:c r="D5" t="n">
        <x:f>AVERAGE('Assessment Data'!I2:I100)</x:f>
        <x:v>3.8</x:v>
      </x:c>
      <x:c r="E5" s="14" t="n">
        <x:f>IFERROR(D5/C5,0)</x:f>
        <x:v>0.76</x:v>
      </x:c>
      <x:c r="F5" s="14" t="n">
        <x:f>1-E5</x:f>
        <x:v>0.24</x:v>
      </x:c>
      <x:c r="G5" t="str">
        <x:f>IF(E5&gt;=0.9,"No action",IF(E5&gt;=0.75,"Provide job aid / reinforcement",IF(E5&gt;=0.6,"Targeted refresher","Revise training + reassess")))</x:f>
        <x:v>Provide job aid / reinforcement</x:v>
      </x:c>
    </x:row>
  </x:sheetData>
  <x:conditionalFormatting sqref="E2:E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